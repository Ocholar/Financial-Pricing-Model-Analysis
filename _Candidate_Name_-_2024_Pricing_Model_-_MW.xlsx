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gt;&gt; Start Here" sheetId="1" r:id="rId4"/>
    <sheet state="visible" name="Pricing Model" sheetId="2" r:id="rId5"/>
    <sheet state="visible" name="Input Sheet" sheetId="3" r:id="rId6"/>
    <sheet state="visible" name="Bundle Configuration" sheetId="4" r:id="rId7"/>
    <sheet state="visible" name="Site Economics" sheetId="5" r:id="rId8"/>
    <sheet state="visible" name="2023 Adoption" sheetId="6" r:id="rId9"/>
  </sheets>
  <definedNames>
    <definedName hidden="1" localSheetId="3" name="_xlnm._FilterDatabase">'Bundle Configuration'!$C$2:$I$85</definedName>
    <definedName hidden="1" localSheetId="3" name="Z_AF2EAA4A_3E8B_45BD_95B2_79081B01FFD3_.wvu.FilterData">'Bundle Configuration'!$A$2:$I$85</definedName>
  </definedNames>
  <calcPr/>
  <customWorkbookViews>
    <customWorkbookView activeSheetId="0" maximized="1" windowHeight="0" windowWidth="0" guid="{AF2EAA4A-3E8B-45BD-95B2-79081B01FFD3}" name="Filter 1"/>
  </customWorkbookViews>
</workbook>
</file>

<file path=xl/sharedStrings.xml><?xml version="1.0" encoding="utf-8"?>
<sst xmlns="http://schemas.openxmlformats.org/spreadsheetml/2006/main" count="427" uniqueCount="174">
  <si>
    <t>Definitions / Additional information</t>
  </si>
  <si>
    <t xml:space="preserve">When do we do pricing </t>
  </si>
  <si>
    <t xml:space="preserve">Pricing is done between April - Aug of the current year, ahead of the Sept - Dec distribution. We are guided by the current market conditions and the current year's budget which was completed in Oct of the previous year </t>
  </si>
  <si>
    <t xml:space="preserve">How we determine pricing </t>
  </si>
  <si>
    <r>
      <rPr>
        <rFont val="Calibri"/>
        <color theme="1"/>
      </rPr>
      <t xml:space="preserve">In determining price of a bundle we try to balance the following considerations  
</t>
    </r>
    <r>
      <rPr>
        <rFont val="Calibri"/>
        <b/>
        <color theme="1"/>
      </rPr>
      <t xml:space="preserve">1) </t>
    </r>
    <r>
      <rPr>
        <rFont val="Calibri"/>
        <color theme="1"/>
      </rPr>
      <t xml:space="preserve">The product margin should be between 20 - 30% 
</t>
    </r>
    <r>
      <rPr>
        <rFont val="Calibri"/>
        <b/>
        <color theme="1"/>
      </rPr>
      <t>2)</t>
    </r>
    <r>
      <rPr>
        <rFont val="Calibri"/>
        <color theme="1"/>
      </rPr>
      <t xml:space="preserve"> The price should be within +-5% of the current season market price 
</t>
    </r>
    <r>
      <rPr>
        <rFont val="Calibri"/>
        <b/>
        <color theme="1"/>
      </rPr>
      <t>3)</t>
    </r>
    <r>
      <rPr>
        <rFont val="Calibri"/>
        <color theme="1"/>
      </rPr>
      <t xml:space="preserve"> The price should be within 30% of last year's prices  </t>
    </r>
  </si>
  <si>
    <t>Adoption %</t>
  </si>
  <si>
    <t xml:space="preserve">The % of farmers who enrolled, paid the prepayment and received input for a specific bundle </t>
  </si>
  <si>
    <t xml:space="preserve">COGS </t>
  </si>
  <si>
    <t xml:space="preserve">Cost of Goods Sold </t>
  </si>
  <si>
    <t>Tabs in this workbook</t>
  </si>
  <si>
    <t>Pricing Model</t>
  </si>
  <si>
    <t xml:space="preserve">This is the main output of the deliverable. The model template is linked to the input sheet. Therefore start by updating the input sheet </t>
  </si>
  <si>
    <t xml:space="preserve">Input sheet </t>
  </si>
  <si>
    <t>Update the pricing model based on data from other tabs.</t>
  </si>
  <si>
    <t>You will be required to use the context provided to calculate the selling price.</t>
  </si>
  <si>
    <t xml:space="preserve">Bundle configuration </t>
  </si>
  <si>
    <t>This shows the COGS for the different bundles</t>
  </si>
  <si>
    <t xml:space="preserve">Site Economics </t>
  </si>
  <si>
    <t>Shows the YoY performance. 2024 numbers will be pulled from the Pricing Model</t>
  </si>
  <si>
    <t xml:space="preserve">2023 Adoption </t>
  </si>
  <si>
    <t>The 2023 distribution ended in December 2023 and this report shows the final adoption for the various bundles from Roster (our famer interface application)</t>
  </si>
  <si>
    <t>Southern Region</t>
  </si>
  <si>
    <t>Central Region</t>
  </si>
  <si>
    <t>Core Program
USD</t>
  </si>
  <si>
    <t>Number of Regions</t>
  </si>
  <si>
    <t>Number of Districts</t>
  </si>
  <si>
    <t>Site Numbers</t>
  </si>
  <si>
    <t>Farmers per Site</t>
  </si>
  <si>
    <t>Total Farmers</t>
  </si>
  <si>
    <t>Total Revenue</t>
  </si>
  <si>
    <t>COGS</t>
  </si>
  <si>
    <t>Funeral Insurance per Farmer</t>
  </si>
  <si>
    <t>Inventory shrink</t>
  </si>
  <si>
    <t>Total COGS</t>
  </si>
  <si>
    <t>Margin</t>
  </si>
  <si>
    <t>Margin %</t>
  </si>
  <si>
    <t>TX Size</t>
  </si>
  <si>
    <t>FX rate</t>
  </si>
  <si>
    <t>Item</t>
  </si>
  <si>
    <t>Units (No. Farmers)</t>
  </si>
  <si>
    <t>COGS (MWK)</t>
  </si>
  <si>
    <t>Selling Price (MWK)</t>
  </si>
  <si>
    <t>Units</t>
  </si>
  <si>
    <t>Market Prices LR25</t>
  </si>
  <si>
    <t xml:space="preserve">Delta </t>
  </si>
  <si>
    <t>Last Year Prices</t>
  </si>
  <si>
    <t>Total Adoption units</t>
  </si>
  <si>
    <t>Total Adoption %</t>
  </si>
  <si>
    <t>LR24 Total Adoption</t>
  </si>
  <si>
    <t>Total Revenue ($)</t>
  </si>
  <si>
    <t>Total COGs ($)</t>
  </si>
  <si>
    <t>Total Margin ($)</t>
  </si>
  <si>
    <t>Product Margin %</t>
  </si>
  <si>
    <t>Maize Bundle - Standard</t>
  </si>
  <si>
    <t>0.2 Acre Maize bundle</t>
  </si>
  <si>
    <t>Maize Bundle - Reduced Urea</t>
  </si>
  <si>
    <t>1.5 Acre Maize bundle</t>
  </si>
  <si>
    <t>1 Acre Maize bundle</t>
  </si>
  <si>
    <t>1/2 Acre Maize bundle</t>
  </si>
  <si>
    <t>Top up Products</t>
  </si>
  <si>
    <t>Urea; 46-0-0; 25 KG Bag [Stock]</t>
  </si>
  <si>
    <t>Urea; 46-0-0;12.5 KG Bag [Stock]</t>
  </si>
  <si>
    <t>Maize Seed 10 kg</t>
  </si>
  <si>
    <t>Maize Seed 5 kg</t>
  </si>
  <si>
    <t>Legume; Groundnuts CG9; 2KG[Stock]</t>
  </si>
  <si>
    <t>Legume; Groundnuts CG9; 4KG[Stock]</t>
  </si>
  <si>
    <t>Legume; Groundnuts CG9; 10KG[Stock]</t>
  </si>
  <si>
    <t>Legume; Groundnuts CG9; 20KG[Stock]</t>
  </si>
  <si>
    <t>Legume; Groundnut CG13; 1 KG [Stock]</t>
  </si>
  <si>
    <t>Legume; Groundnut CG13; 2 KG [Stock]</t>
  </si>
  <si>
    <t>Legume; Groundnut CG13; 5 KG [Stock]</t>
  </si>
  <si>
    <t>Legume; Groundnut CG13; 10 KG [Stock]</t>
  </si>
  <si>
    <t>Legume; Groundnut CG13; 20 KG [Stock]</t>
  </si>
  <si>
    <t>Legume; Nua-45 beans; 1KG[Stock]</t>
  </si>
  <si>
    <t>Legume; Nua-45 beans; 2KG[Stock]</t>
  </si>
  <si>
    <t>Legume; Nua-45 beans; 5KG[Stock]</t>
  </si>
  <si>
    <t>Legume; Nua-45 beans; 10KG[Stock]</t>
  </si>
  <si>
    <t>Legume; Nua-45 beans; 20KG[Stock]</t>
  </si>
  <si>
    <t>Legume; Kayera beans; 1KG[Stock]</t>
  </si>
  <si>
    <t>Legume; Kayera beans; 2KG[Stock]</t>
  </si>
  <si>
    <t>Legume; Kayera beans; 5KG[Stock]</t>
  </si>
  <si>
    <t>Legume; Kayera beans; 10KG[Stock]</t>
  </si>
  <si>
    <t>Legume; Kayera beans; 20 KG [Stock]</t>
  </si>
  <si>
    <t>Legume; Soya beans Tikolore; 1KG [Stock]</t>
  </si>
  <si>
    <t>Legume; Tikolore; 2 KG Bag [Stock]</t>
  </si>
  <si>
    <t>Legume; Soya beans Tikolore; 5KG[Stock]</t>
  </si>
  <si>
    <t>Legume; Soya beans Tikolore; 10KG[Stock]</t>
  </si>
  <si>
    <t>Legume; Soya beans Tikolore; 20KG[Stock]</t>
  </si>
  <si>
    <t>Legume; Soya Beans SC Serenade 1KG[Stock]</t>
  </si>
  <si>
    <t>Legume; Soya Beans SC Serenade 2KG[Stock]</t>
  </si>
  <si>
    <t>Legume; Soya Beans SC Serenade 5KG[Stock]</t>
  </si>
  <si>
    <t>Legume; Soya Beans SC Serenade 10KG[Stock]</t>
  </si>
  <si>
    <t>Legume; Soya Beans SC Serenade 20KG[Stock]</t>
  </si>
  <si>
    <t>Legume; Cow Peas (IT82E-16);1Kg</t>
  </si>
  <si>
    <t>Legume; Cow Peas (IT82E-16);2Kg</t>
  </si>
  <si>
    <t>Legume; Cow Peas (IT82E-16);5Kg</t>
  </si>
  <si>
    <t>Fertilizer ; Beans innoculant; 25g [Stock]</t>
  </si>
  <si>
    <t>Fertilizer; Groundnut Innoculant; 25g [Stock]</t>
  </si>
  <si>
    <t>Fertilizer ; Soybean innoculant; 25g [Stock]</t>
  </si>
  <si>
    <t>Planting scoop</t>
  </si>
  <si>
    <t>Trees</t>
  </si>
  <si>
    <t>Itel Phone</t>
  </si>
  <si>
    <t>Sunking Boom</t>
  </si>
  <si>
    <t>DO NOT SORT OR FILTER!</t>
  </si>
  <si>
    <t>Bundle Name</t>
  </si>
  <si>
    <t>Product Type</t>
  </si>
  <si>
    <t>Number of items in bundle</t>
  </si>
  <si>
    <t>Quantity needed in bundle (Kg)/units</t>
  </si>
  <si>
    <t>COGS per bundle  (MWK) - Actual</t>
  </si>
  <si>
    <t>COGS per bundle  (USD) - Actual</t>
  </si>
  <si>
    <t>Standard Bundles</t>
  </si>
  <si>
    <t>NPK-23-10-5+6S+1.0Zn; 10 KG Bag [Stock]</t>
  </si>
  <si>
    <t>Fertilizer</t>
  </si>
  <si>
    <t>UREA; 46-0-0; 10 KG Bag [Stock]</t>
  </si>
  <si>
    <t>Maize Seed 2 kg</t>
  </si>
  <si>
    <t>Seed</t>
  </si>
  <si>
    <t>Reduced Urea Bundles</t>
  </si>
  <si>
    <t>NPK-23-10-5+6S+1.0Zn; 50 KG Bag [Stock]</t>
  </si>
  <si>
    <t>NPK-23-10-5+6S+1.0Zn; 25 KG Bag [Stock]</t>
  </si>
  <si>
    <t>Urea; 46-0-0; 50 KG Bag [Stock]</t>
  </si>
  <si>
    <t>Maize; PW 3812; 2 KG Bag [Stock]</t>
  </si>
  <si>
    <t>Maize; PW 3812; 5 KG Bag [Stock]</t>
  </si>
  <si>
    <t>Maize; PW 3812; 10 KG Bag [Stock]</t>
  </si>
  <si>
    <t>Maize; DK 8023; 5Kg Bag [Stock]</t>
  </si>
  <si>
    <t>Maize; DK 8023; 10Kg Bag [Stock]</t>
  </si>
  <si>
    <t>Maize; DK 8033; 2 KG Bag [Stock]</t>
  </si>
  <si>
    <t>Maize; DK 8033; 5 KG Bag [Stock]</t>
  </si>
  <si>
    <t>Maize; DK 8033; 10 KG Bag [Stock]</t>
  </si>
  <si>
    <t>Maize; Monsanto DK 777; 5 KG Bag [Stock]</t>
  </si>
  <si>
    <t>Maize; Monsanto DK 777; 10 KG Bag [Stock]</t>
  </si>
  <si>
    <t>Maize; SC 423; 2Kg Bag [Stock]</t>
  </si>
  <si>
    <t>Maize; SC 423; 5Kg Bag [Stock]</t>
  </si>
  <si>
    <t>Maize; SC 423;10Kg Bag [Stock]</t>
  </si>
  <si>
    <t>Legume; Groundnuts CG9; 1KG[Stock]</t>
  </si>
  <si>
    <t>Legume; Groundnuts CG9; 5KG[Stock]</t>
  </si>
  <si>
    <t>Fruit Trees</t>
  </si>
  <si>
    <t>Other Non-Core</t>
  </si>
  <si>
    <t>Sim card</t>
  </si>
  <si>
    <t>Solar</t>
  </si>
  <si>
    <t xml:space="preserve">1) Site economics </t>
  </si>
  <si>
    <t>Site Economics</t>
  </si>
  <si>
    <t>2023 - Actuals</t>
  </si>
  <si>
    <t>2024 - Budget</t>
  </si>
  <si>
    <t xml:space="preserve">  Farmer Revenue</t>
  </si>
  <si>
    <t xml:space="preserve">  Margin % </t>
  </si>
  <si>
    <t xml:space="preserve">  Gross Margin / Farmer</t>
  </si>
  <si>
    <t xml:space="preserve">   Non-repayment (% of revenue)</t>
  </si>
  <si>
    <t xml:space="preserve">   Other Associated Costs (% of revenue)</t>
  </si>
  <si>
    <t>Associated Costs (% of revenue)</t>
  </si>
  <si>
    <t xml:space="preserve">  Ass Costs / Farmer</t>
  </si>
  <si>
    <t>$ Earned (Profit margin) / Farmer</t>
  </si>
  <si>
    <t>Farmers / Site</t>
  </si>
  <si>
    <t xml:space="preserve">  $ Margin / Site</t>
  </si>
  <si>
    <t xml:space="preserve">    Field Staff Cost / Site</t>
  </si>
  <si>
    <t xml:space="preserve">    FOP OH Cost / Site</t>
  </si>
  <si>
    <t xml:space="preserve">  $ Costs/ Site</t>
  </si>
  <si>
    <t>$ Earned / Margin Per Site</t>
  </si>
  <si>
    <t>Site #s</t>
  </si>
  <si>
    <t>Total Site Margin / Deficit</t>
  </si>
  <si>
    <r>
      <rPr>
        <rFont val="Calibri"/>
        <b/>
        <color theme="1"/>
        <sz val="9.0"/>
      </rPr>
      <t xml:space="preserve">* - </t>
    </r>
    <r>
      <rPr>
        <rFont val="Calibri"/>
        <b val="0"/>
        <color theme="1"/>
        <sz val="9.0"/>
      </rPr>
      <t>associated costs + staff &amp; OH costs based on what was budgeted</t>
    </r>
  </si>
  <si>
    <r>
      <rPr>
        <rFont val="Calibri"/>
        <b/>
        <color theme="1"/>
        <sz val="9.0"/>
      </rPr>
      <t xml:space="preserve">** - </t>
    </r>
    <r>
      <rPr>
        <rFont val="Calibri"/>
        <b val="0"/>
        <color theme="1"/>
        <sz val="9.0"/>
      </rPr>
      <t xml:space="preserve">associated costs + staff &amp; OH costs based on actual costs from LR23 </t>
    </r>
  </si>
  <si>
    <t>Farmer #s</t>
  </si>
  <si>
    <t>Bundle</t>
  </si>
  <si>
    <t xml:space="preserve">Central Region Adoption </t>
  </si>
  <si>
    <t>Malawi Southern Adoption</t>
  </si>
  <si>
    <t>Total Adoption</t>
  </si>
  <si>
    <t>LR2024_Inoculent Beans qty</t>
  </si>
  <si>
    <t>LR2024_Inoculent Groundnuts qty</t>
  </si>
  <si>
    <t>LR2024_Inoculent Soya qty</t>
  </si>
  <si>
    <t>LR2024_Itel qty</t>
  </si>
  <si>
    <t>LR2024_Maize_Reduced Urea SR acres</t>
  </si>
  <si>
    <t>LR2024_Membership Fee qty</t>
  </si>
  <si>
    <t>LR2024_Non-Fruit Trees qty</t>
  </si>
  <si>
    <t>LR2024_SK Boom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</si>
</sst>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0.0%"/>
    <numFmt numFmtId="166" formatCode="&quot;$&quot;#,##0.00"/>
    <numFmt numFmtId="167" formatCode="0.0"/>
    <numFmt numFmtId="168" formatCode="#,###,##0"/>
    <numFmt numFmtId="169" formatCode="#,###,##0.00"/>
  </numFmts>
  <fonts count="28">
    <font>
      <sz val="10.0"/>
      <color rgb="FF000000"/>
      <name val="Arial"/>
      <scheme val="minor"/>
    </font>
    <font>
      <b/>
      <color theme="1"/>
      <name val="Calibri"/>
    </font>
    <font>
      <b/>
      <color rgb="FFFFFFFF"/>
      <name val="Calibri"/>
    </font>
    <font>
      <color theme="1"/>
      <name val="Calibri"/>
    </font>
    <font/>
    <font>
      <b/>
      <sz val="8.0"/>
      <color theme="1"/>
      <name val="Calibri"/>
    </font>
    <font>
      <sz val="10.0"/>
      <color theme="1"/>
      <name val="Calibri"/>
    </font>
    <font>
      <b/>
      <color rgb="FF990000"/>
      <name val="Calibri"/>
    </font>
    <font>
      <sz val="8.0"/>
      <color theme="1"/>
      <name val="Calibri"/>
    </font>
    <font>
      <b/>
      <sz val="8.0"/>
      <color rgb="FF0000FF"/>
      <name val="Calibri"/>
    </font>
    <font>
      <color rgb="FF990000"/>
      <name val="Calibri"/>
    </font>
    <font>
      <sz val="10.0"/>
      <color rgb="FFFF0000"/>
      <name val="Calibri"/>
    </font>
    <font>
      <color rgb="FF000000"/>
      <name val="Calibri"/>
    </font>
    <font>
      <b/>
      <sz val="8.0"/>
      <color rgb="FF000000"/>
      <name val="Calibri"/>
    </font>
    <font>
      <i/>
      <color rgb="FF990000"/>
      <name val="Calibri"/>
    </font>
    <font>
      <i/>
      <sz val="8.0"/>
      <color theme="1"/>
      <name val="Calibri"/>
    </font>
    <font>
      <i/>
      <color theme="1"/>
      <name val="Calibri"/>
    </font>
    <font>
      <b/>
      <i/>
      <sz val="8.0"/>
      <color rgb="FF0000FF"/>
      <name val="Calibri"/>
    </font>
    <font>
      <b/>
      <sz val="10.0"/>
      <color theme="1"/>
      <name val="Calibri"/>
    </font>
    <font>
      <b/>
      <sz val="8.0"/>
      <color rgb="FFFFFFFF"/>
      <name val="Calibri"/>
    </font>
    <font>
      <sz val="8.0"/>
      <color rgb="FF000000"/>
      <name val="Calibri"/>
    </font>
    <font>
      <sz val="8.0"/>
      <color rgb="FF0000FF"/>
      <name val="Calibri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b/>
      <sz val="9.0"/>
      <color rgb="FFFFFFFF"/>
      <name val="Calibri"/>
    </font>
    <font>
      <sz val="9.0"/>
      <color rgb="FF0000FF"/>
      <name val="Calibri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B7F68"/>
        <bgColor rgb="FF2B7F68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D5A6BD"/>
        <bgColor rgb="FFD5A6BD"/>
      </patternFill>
    </fill>
    <fill>
      <patternFill patternType="solid">
        <fgColor rgb="FFE5DFEC"/>
        <bgColor rgb="FFE5DFEC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4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left style="hair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double">
        <color rgb="FF000000"/>
      </lef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double">
        <color rgb="FF000000"/>
      </left>
      <bottom style="medium">
        <color rgb="FF000000"/>
      </bottom>
    </border>
    <border>
      <left style="hair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1" fillId="3" fontId="2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2" fillId="3" fontId="2" numFmtId="0" xfId="0" applyAlignment="1" applyBorder="1" applyFont="1">
      <alignment readingOrder="0" shrinkToFit="0" wrapText="1"/>
    </xf>
    <xf borderId="3" fillId="0" fontId="4" numFmtId="0" xfId="0" applyBorder="1" applyFont="1"/>
    <xf borderId="4" fillId="5" fontId="5" numFmtId="0" xfId="0" applyAlignment="1" applyBorder="1" applyFill="1" applyFont="1">
      <alignment readingOrder="0"/>
    </xf>
    <xf borderId="5" fillId="5" fontId="5" numFmtId="0" xfId="0" applyAlignment="1" applyBorder="1" applyFont="1">
      <alignment horizontal="center" readingOrder="0" shrinkToFit="0" wrapText="1"/>
    </xf>
    <xf borderId="0" fillId="0" fontId="6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3" xfId="0" applyFont="1" applyNumberFormat="1"/>
    <xf borderId="6" fillId="0" fontId="8" numFmtId="0" xfId="0" applyAlignment="1" applyBorder="1" applyFont="1">
      <alignment readingOrder="0"/>
    </xf>
    <xf borderId="7" fillId="6" fontId="9" numFmtId="3" xfId="0" applyAlignment="1" applyBorder="1" applyFill="1" applyFont="1" applyNumberForma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7" fillId="6" fontId="13" numFmtId="3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14" numFmtId="0" xfId="0" applyAlignment="1" applyFont="1">
      <alignment readingOrder="0"/>
    </xf>
    <xf borderId="7" fillId="6" fontId="13" numFmtId="164" xfId="0" applyAlignment="1" applyBorder="1" applyFont="1" applyNumberFormat="1">
      <alignment readingOrder="0"/>
    </xf>
    <xf borderId="6" fillId="0" fontId="8" numFmtId="0" xfId="0" applyAlignment="1" applyBorder="1" applyFont="1">
      <alignment horizontal="right" readingOrder="0"/>
    </xf>
    <xf borderId="6" fillId="0" fontId="15" numFmtId="0" xfId="0" applyAlignment="1" applyBorder="1" applyFont="1">
      <alignment horizontal="right" readingOrder="0"/>
    </xf>
    <xf borderId="0" fillId="0" fontId="16" numFmtId="0" xfId="0" applyFont="1"/>
    <xf borderId="7" fillId="6" fontId="17" numFmtId="10" xfId="0" applyAlignment="1" applyBorder="1" applyFont="1" applyNumberFormat="1">
      <alignment readingOrder="0"/>
    </xf>
    <xf borderId="4" fillId="7" fontId="5" numFmtId="0" xfId="0" applyAlignment="1" applyBorder="1" applyFill="1" applyFont="1">
      <alignment readingOrder="0"/>
    </xf>
    <xf borderId="5" fillId="7" fontId="13" numFmtId="164" xfId="0" applyAlignment="1" applyBorder="1" applyFont="1" applyNumberFormat="1">
      <alignment readingOrder="0"/>
    </xf>
    <xf borderId="7" fillId="6" fontId="13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7" fillId="6" fontId="13" numFmtId="166" xfId="0" applyAlignment="1" applyBorder="1" applyFont="1" applyNumberFormat="1">
      <alignment readingOrder="0"/>
    </xf>
    <xf borderId="0" fillId="0" fontId="3" numFmtId="165" xfId="0" applyAlignment="1" applyFont="1" applyNumberFormat="1">
      <alignment horizontal="center"/>
    </xf>
    <xf borderId="0" fillId="0" fontId="3" numFmtId="165" xfId="0" applyFont="1" applyNumberFormat="1"/>
    <xf borderId="8" fillId="0" fontId="8" numFmtId="0" xfId="0" applyAlignment="1" applyBorder="1" applyFont="1">
      <alignment readingOrder="0"/>
    </xf>
    <xf borderId="9" fillId="6" fontId="9" numFmtId="3" xfId="0" applyAlignment="1" applyBorder="1" applyFont="1" applyNumberFormat="1">
      <alignment readingOrder="0"/>
    </xf>
    <xf borderId="8" fillId="8" fontId="5" numFmtId="0" xfId="0" applyAlignment="1" applyBorder="1" applyFill="1" applyFont="1">
      <alignment readingOrder="0"/>
    </xf>
    <xf borderId="9" fillId="8" fontId="13" numFmtId="164" xfId="0" applyAlignment="1" applyBorder="1" applyFont="1" applyNumberFormat="1">
      <alignment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10" fillId="0" fontId="3" numFmtId="0" xfId="0" applyBorder="1" applyFont="1"/>
    <xf borderId="10" fillId="0" fontId="3" numFmtId="165" xfId="0" applyAlignment="1" applyBorder="1" applyFont="1" applyNumberFormat="1">
      <alignment horizontal="center"/>
    </xf>
    <xf borderId="10" fillId="0" fontId="3" numFmtId="3" xfId="0" applyBorder="1" applyFont="1" applyNumberFormat="1"/>
    <xf borderId="10" fillId="0" fontId="3" numFmtId="165" xfId="0" applyBorder="1" applyFont="1" applyNumberFormat="1"/>
    <xf borderId="0" fillId="0" fontId="3" numFmtId="164" xfId="0" applyFont="1" applyNumberFormat="1"/>
    <xf borderId="0" fillId="0" fontId="8" numFmtId="0" xfId="0" applyFont="1"/>
    <xf borderId="4" fillId="9" fontId="19" numFmtId="0" xfId="0" applyAlignment="1" applyBorder="1" applyFill="1" applyFont="1">
      <alignment horizontal="center" readingOrder="0" shrinkToFit="0" wrapText="1"/>
    </xf>
    <xf borderId="11" fillId="0" fontId="4" numFmtId="0" xfId="0" applyBorder="1" applyFont="1"/>
    <xf borderId="12" fillId="0" fontId="4" numFmtId="0" xfId="0" applyBorder="1" applyFont="1"/>
    <xf borderId="11" fillId="9" fontId="1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2" fontId="3" numFmtId="0" xfId="0" applyFont="1"/>
    <xf borderId="4" fillId="10" fontId="5" numFmtId="0" xfId="0" applyAlignment="1" applyBorder="1" applyFill="1" applyFont="1">
      <alignment readingOrder="0" shrinkToFit="0" wrapText="1"/>
    </xf>
    <xf borderId="11" fillId="10" fontId="5" numFmtId="0" xfId="0" applyAlignment="1" applyBorder="1" applyFont="1">
      <alignment readingOrder="0" shrinkToFit="0" wrapText="1"/>
    </xf>
    <xf borderId="4" fillId="11" fontId="5" numFmtId="0" xfId="0" applyAlignment="1" applyBorder="1" applyFill="1" applyFont="1">
      <alignment horizontal="right" readingOrder="0" shrinkToFit="0" wrapText="1"/>
    </xf>
    <xf borderId="13" fillId="11" fontId="5" numFmtId="0" xfId="0" applyAlignment="1" applyBorder="1" applyFont="1">
      <alignment horizontal="center" readingOrder="0" shrinkToFit="0" wrapText="1"/>
    </xf>
    <xf borderId="14" fillId="10" fontId="5" numFmtId="0" xfId="0" applyAlignment="1" applyBorder="1" applyFont="1">
      <alignment readingOrder="0" shrinkToFit="0" wrapText="1"/>
    </xf>
    <xf borderId="5" fillId="11" fontId="5" numFmtId="0" xfId="0" applyAlignment="1" applyBorder="1" applyFont="1">
      <alignment horizontal="center" readingOrder="0" shrinkToFit="0" wrapText="1"/>
    </xf>
    <xf borderId="12" fillId="8" fontId="5" numFmtId="0" xfId="0" applyAlignment="1" applyBorder="1" applyFont="1">
      <alignment readingOrder="0" shrinkToFit="0" wrapText="1"/>
    </xf>
    <xf borderId="12" fillId="8" fontId="5" numFmtId="0" xfId="0" applyAlignment="1" applyBorder="1" applyFont="1">
      <alignment horizontal="center" readingOrder="0" shrinkToFit="0" wrapText="1"/>
    </xf>
    <xf borderId="12" fillId="12" fontId="13" numFmtId="3" xfId="0" applyAlignment="1" applyBorder="1" applyFill="1" applyFont="1" applyNumberFormat="1">
      <alignment horizontal="center" readingOrder="0" shrinkToFit="0" wrapText="1"/>
    </xf>
    <xf borderId="12" fillId="12" fontId="13" numFmtId="0" xfId="0" applyAlignment="1" applyBorder="1" applyFont="1">
      <alignment horizontal="center" readingOrder="0" shrinkToFit="0" wrapText="1"/>
    </xf>
    <xf borderId="15" fillId="12" fontId="13" numFmtId="0" xfId="0" applyAlignment="1" applyBorder="1" applyFont="1">
      <alignment horizontal="center" readingOrder="0" shrinkToFit="0" wrapText="1"/>
    </xf>
    <xf borderId="11" fillId="13" fontId="5" numFmtId="0" xfId="0" applyAlignment="1" applyBorder="1" applyFill="1" applyFont="1">
      <alignment readingOrder="0" shrinkToFit="0" wrapText="1"/>
    </xf>
    <xf borderId="12" fillId="13" fontId="5" numFmtId="0" xfId="0" applyAlignment="1" applyBorder="1" applyFont="1">
      <alignment readingOrder="0" shrinkToFit="0" wrapText="1"/>
    </xf>
    <xf borderId="15" fillId="10" fontId="5" numFmtId="0" xfId="0" applyAlignment="1" applyBorder="1" applyFont="1">
      <alignment readingOrder="0" shrinkToFit="0" wrapText="1"/>
    </xf>
    <xf borderId="6" fillId="6" fontId="13" numFmtId="0" xfId="0" applyAlignment="1" applyBorder="1" applyFont="1">
      <alignment readingOrder="0"/>
    </xf>
    <xf borderId="0" fillId="6" fontId="9" numFmtId="9" xfId="0" applyAlignment="1" applyFont="1" applyNumberFormat="1">
      <alignment readingOrder="0"/>
    </xf>
    <xf borderId="16" fillId="6" fontId="17" numFmtId="9" xfId="0" applyAlignment="1" applyBorder="1" applyFont="1" applyNumberFormat="1">
      <alignment readingOrder="0"/>
    </xf>
    <xf borderId="0" fillId="6" fontId="5" numFmtId="3" xfId="0" applyAlignment="1" applyFont="1" applyNumberFormat="1">
      <alignment readingOrder="0"/>
    </xf>
    <xf borderId="6" fillId="0" fontId="20" numFmtId="3" xfId="0" applyAlignment="1" applyBorder="1" applyFont="1" applyNumberFormat="1">
      <alignment readingOrder="0"/>
    </xf>
    <xf borderId="17" fillId="6" fontId="20" numFmtId="3" xfId="0" applyAlignment="1" applyBorder="1" applyFont="1" applyNumberFormat="1">
      <alignment readingOrder="0"/>
    </xf>
    <xf borderId="7" fillId="6" fontId="20" numFmtId="3" xfId="0" applyAlignment="1" applyBorder="1" applyFont="1" applyNumberFormat="1">
      <alignment readingOrder="0"/>
    </xf>
    <xf borderId="18" fillId="0" fontId="8" numFmtId="3" xfId="0" applyBorder="1" applyFont="1" applyNumberFormat="1"/>
    <xf borderId="19" fillId="0" fontId="8" numFmtId="164" xfId="0" applyAlignment="1" applyBorder="1" applyFont="1" applyNumberFormat="1">
      <alignment horizontal="center"/>
    </xf>
    <xf borderId="18" fillId="14" fontId="8" numFmtId="3" xfId="0" applyBorder="1" applyFill="1" applyFont="1" applyNumberFormat="1"/>
    <xf borderId="0" fillId="0" fontId="8" numFmtId="3" xfId="0" applyFont="1" applyNumberFormat="1"/>
    <xf borderId="0" fillId="0" fontId="8" numFmtId="165" xfId="0" applyFont="1" applyNumberFormat="1"/>
    <xf borderId="19" fillId="0" fontId="8" numFmtId="164" xfId="0" applyBorder="1" applyFont="1" applyNumberFormat="1"/>
    <xf borderId="0" fillId="0" fontId="8" numFmtId="164" xfId="0" applyFont="1" applyNumberFormat="1"/>
    <xf borderId="18" fillId="0" fontId="8" numFmtId="164" xfId="0" applyBorder="1" applyFont="1" applyNumberFormat="1"/>
    <xf borderId="19" fillId="6" fontId="20" numFmtId="9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6" fillId="6" fontId="20" numFmtId="0" xfId="0" applyAlignment="1" applyBorder="1" applyFont="1">
      <alignment readingOrder="0"/>
    </xf>
    <xf borderId="0" fillId="6" fontId="21" numFmtId="9" xfId="0" applyAlignment="1" applyFont="1" applyNumberFormat="1">
      <alignment readingOrder="0"/>
    </xf>
    <xf borderId="6" fillId="6" fontId="21" numFmtId="165" xfId="0" applyAlignment="1" applyBorder="1" applyFont="1" applyNumberFormat="1">
      <alignment readingOrder="0"/>
    </xf>
    <xf borderId="0" fillId="6" fontId="8" numFmtId="3" xfId="0" applyAlignment="1" applyFont="1" applyNumberFormat="1">
      <alignment readingOrder="0"/>
    </xf>
    <xf borderId="17" fillId="6" fontId="21" numFmtId="3" xfId="0" applyAlignment="1" applyBorder="1" applyFont="1" applyNumberFormat="1">
      <alignment readingOrder="0"/>
    </xf>
    <xf borderId="16" fillId="6" fontId="21" numFmtId="165" xfId="0" applyAlignment="1" applyBorder="1" applyFont="1" applyNumberFormat="1">
      <alignment readingOrder="0"/>
    </xf>
    <xf borderId="7" fillId="6" fontId="21" numFmtId="3" xfId="0" applyAlignment="1" applyBorder="1" applyFont="1" applyNumberFormat="1">
      <alignment readingOrder="0"/>
    </xf>
    <xf borderId="18" fillId="6" fontId="20" numFmtId="3" xfId="0" applyAlignment="1" applyBorder="1" applyFont="1" applyNumberFormat="1">
      <alignment readingOrder="0"/>
    </xf>
    <xf borderId="19" fillId="0" fontId="8" numFmtId="9" xfId="0" applyAlignment="1" applyBorder="1" applyFont="1" applyNumberFormat="1">
      <alignment horizontal="center" readingOrder="0"/>
    </xf>
    <xf borderId="18" fillId="14" fontId="20" numFmtId="3" xfId="0" applyAlignment="1" applyBorder="1" applyFont="1" applyNumberFormat="1">
      <alignment readingOrder="0"/>
    </xf>
    <xf borderId="19" fillId="0" fontId="8" numFmtId="10" xfId="0" applyAlignment="1" applyBorder="1" applyFont="1" applyNumberFormat="1">
      <alignment readingOrder="0"/>
    </xf>
    <xf borderId="6" fillId="6" fontId="9" numFmtId="165" xfId="0" applyAlignment="1" applyBorder="1" applyFont="1" applyNumberFormat="1">
      <alignment readingOrder="0"/>
    </xf>
    <xf borderId="16" fillId="6" fontId="9" numFmtId="165" xfId="0" applyAlignment="1" applyBorder="1" applyFont="1" applyNumberFormat="1">
      <alignment readingOrder="0"/>
    </xf>
    <xf borderId="6" fillId="6" fontId="20" numFmtId="0" xfId="0" applyBorder="1" applyFont="1"/>
    <xf borderId="20" fillId="6" fontId="20" numFmtId="0" xfId="0" applyBorder="1" applyFont="1"/>
    <xf borderId="21" fillId="6" fontId="21" numFmtId="9" xfId="0" applyAlignment="1" applyBorder="1" applyFont="1" applyNumberFormat="1">
      <alignment readingOrder="0"/>
    </xf>
    <xf borderId="20" fillId="6" fontId="21" numFmtId="165" xfId="0" applyAlignment="1" applyBorder="1" applyFont="1" applyNumberFormat="1">
      <alignment readingOrder="0"/>
    </xf>
    <xf borderId="21" fillId="6" fontId="8" numFmtId="3" xfId="0" applyAlignment="1" applyBorder="1" applyFont="1" applyNumberFormat="1">
      <alignment readingOrder="0"/>
    </xf>
    <xf borderId="20" fillId="6" fontId="20" numFmtId="3" xfId="0" applyAlignment="1" applyBorder="1" applyFont="1" applyNumberFormat="1">
      <alignment readingOrder="0"/>
    </xf>
    <xf borderId="22" fillId="6" fontId="21" numFmtId="3" xfId="0" applyAlignment="1" applyBorder="1" applyFont="1" applyNumberFormat="1">
      <alignment readingOrder="0"/>
    </xf>
    <xf borderId="23" fillId="6" fontId="21" numFmtId="165" xfId="0" applyAlignment="1" applyBorder="1" applyFont="1" applyNumberFormat="1">
      <alignment readingOrder="0"/>
    </xf>
    <xf borderId="24" fillId="6" fontId="21" numFmtId="3" xfId="0" applyAlignment="1" applyBorder="1" applyFont="1" applyNumberFormat="1">
      <alignment readingOrder="0"/>
    </xf>
    <xf borderId="25" fillId="0" fontId="8" numFmtId="3" xfId="0" applyAlignment="1" applyBorder="1" applyFont="1" applyNumberFormat="1">
      <alignment readingOrder="0"/>
    </xf>
    <xf borderId="26" fillId="0" fontId="8" numFmtId="9" xfId="0" applyAlignment="1" applyBorder="1" applyFont="1" applyNumberFormat="1">
      <alignment horizontal="center" readingOrder="0"/>
    </xf>
    <xf borderId="25" fillId="14" fontId="8" numFmtId="3" xfId="0" applyAlignment="1" applyBorder="1" applyFont="1" applyNumberFormat="1">
      <alignment readingOrder="0"/>
    </xf>
    <xf borderId="21" fillId="0" fontId="8" numFmtId="3" xfId="0" applyBorder="1" applyFont="1" applyNumberFormat="1"/>
    <xf borderId="21" fillId="0" fontId="8" numFmtId="165" xfId="0" applyBorder="1" applyFont="1" applyNumberFormat="1"/>
    <xf borderId="26" fillId="0" fontId="8" numFmtId="10" xfId="0" applyAlignment="1" applyBorder="1" applyFont="1" applyNumberFormat="1">
      <alignment readingOrder="0"/>
    </xf>
    <xf borderId="21" fillId="0" fontId="8" numFmtId="164" xfId="0" applyBorder="1" applyFont="1" applyNumberFormat="1"/>
    <xf borderId="25" fillId="0" fontId="8" numFmtId="164" xfId="0" applyBorder="1" applyFont="1" applyNumberFormat="1"/>
    <xf borderId="26" fillId="6" fontId="20" numFmtId="9" xfId="0" applyAlignment="1" applyBorder="1" applyFont="1" applyNumberFormat="1">
      <alignment readingOrder="0"/>
    </xf>
    <xf borderId="19" fillId="0" fontId="8" numFmtId="9" xfId="0" applyAlignment="1" applyBorder="1" applyFont="1" applyNumberFormat="1">
      <alignment horizontal="center"/>
    </xf>
    <xf borderId="6" fillId="6" fontId="20" numFmtId="3" xfId="0" applyAlignment="1" applyBorder="1" applyFont="1" applyNumberFormat="1">
      <alignment readingOrder="0"/>
    </xf>
    <xf borderId="18" fillId="0" fontId="8" numFmtId="3" xfId="0" applyAlignment="1" applyBorder="1" applyFont="1" applyNumberFormat="1">
      <alignment readingOrder="0"/>
    </xf>
    <xf borderId="18" fillId="14" fontId="8" numFmtId="3" xfId="0" applyAlignment="1" applyBorder="1" applyFont="1" applyNumberFormat="1">
      <alignment readingOrder="0"/>
    </xf>
    <xf borderId="27" fillId="6" fontId="20" numFmtId="0" xfId="0" applyAlignment="1" applyBorder="1" applyFont="1">
      <alignment readingOrder="0"/>
    </xf>
    <xf borderId="10" fillId="0" fontId="21" numFmtId="9" xfId="0" applyAlignment="1" applyBorder="1" applyFont="1" applyNumberFormat="1">
      <alignment readingOrder="0"/>
    </xf>
    <xf borderId="27" fillId="0" fontId="21" numFmtId="165" xfId="0" applyAlignment="1" applyBorder="1" applyFont="1" applyNumberFormat="1">
      <alignment readingOrder="0"/>
    </xf>
    <xf borderId="10" fillId="0" fontId="8" numFmtId="3" xfId="0" applyAlignment="1" applyBorder="1" applyFont="1" applyNumberFormat="1">
      <alignment readingOrder="0"/>
    </xf>
    <xf borderId="27" fillId="0" fontId="8" numFmtId="3" xfId="0" applyBorder="1" applyFont="1" applyNumberFormat="1"/>
    <xf borderId="28" fillId="6" fontId="21" numFmtId="3" xfId="0" applyAlignment="1" applyBorder="1" applyFont="1" applyNumberFormat="1">
      <alignment readingOrder="0"/>
    </xf>
    <xf borderId="29" fillId="0" fontId="21" numFmtId="165" xfId="0" applyAlignment="1" applyBorder="1" applyFont="1" applyNumberFormat="1">
      <alignment readingOrder="0"/>
    </xf>
    <xf borderId="30" fillId="6" fontId="21" numFmtId="3" xfId="0" applyAlignment="1" applyBorder="1" applyFont="1" applyNumberFormat="1">
      <alignment readingOrder="0"/>
    </xf>
    <xf borderId="31" fillId="0" fontId="8" numFmtId="3" xfId="0" applyAlignment="1" applyBorder="1" applyFont="1" applyNumberFormat="1">
      <alignment readingOrder="0"/>
    </xf>
    <xf borderId="32" fillId="0" fontId="8" numFmtId="9" xfId="0" applyAlignment="1" applyBorder="1" applyFont="1" applyNumberFormat="1">
      <alignment horizontal="center" readingOrder="0"/>
    </xf>
    <xf borderId="31" fillId="14" fontId="8" numFmtId="3" xfId="0" applyAlignment="1" applyBorder="1" applyFont="1" applyNumberFormat="1">
      <alignment readingOrder="0"/>
    </xf>
    <xf borderId="10" fillId="0" fontId="8" numFmtId="3" xfId="0" applyBorder="1" applyFont="1" applyNumberFormat="1"/>
    <xf borderId="10" fillId="0" fontId="8" numFmtId="165" xfId="0" applyBorder="1" applyFont="1" applyNumberFormat="1"/>
    <xf borderId="32" fillId="0" fontId="8" numFmtId="10" xfId="0" applyAlignment="1" applyBorder="1" applyFont="1" applyNumberFormat="1">
      <alignment readingOrder="0"/>
    </xf>
    <xf borderId="10" fillId="0" fontId="8" numFmtId="164" xfId="0" applyBorder="1" applyFont="1" applyNumberFormat="1"/>
    <xf borderId="31" fillId="0" fontId="8" numFmtId="164" xfId="0" applyBorder="1" applyFont="1" applyNumberFormat="1"/>
    <xf borderId="32" fillId="0" fontId="20" numFmtId="9" xfId="0" applyAlignment="1" applyBorder="1" applyFont="1" applyNumberFormat="1">
      <alignment readingOrder="0"/>
    </xf>
    <xf borderId="0" fillId="0" fontId="21" numFmtId="9" xfId="0" applyAlignment="1" applyFont="1" applyNumberFormat="1">
      <alignment readingOrder="0"/>
    </xf>
    <xf borderId="6" fillId="0" fontId="21" numFmtId="165" xfId="0" applyAlignment="1" applyBorder="1" applyFont="1" applyNumberFormat="1">
      <alignment readingOrder="0"/>
    </xf>
    <xf borderId="0" fillId="0" fontId="8" numFmtId="3" xfId="0" applyAlignment="1" applyFont="1" applyNumberFormat="1">
      <alignment readingOrder="0"/>
    </xf>
    <xf borderId="6" fillId="0" fontId="8" numFmtId="3" xfId="0" applyBorder="1" applyFont="1" applyNumberFormat="1"/>
    <xf borderId="16" fillId="0" fontId="21" numFmtId="165" xfId="0" applyAlignment="1" applyBorder="1" applyFont="1" applyNumberFormat="1">
      <alignment readingOrder="0"/>
    </xf>
    <xf borderId="6" fillId="0" fontId="20" numFmtId="9" xfId="0" applyAlignment="1" applyBorder="1" applyFont="1" applyNumberFormat="1">
      <alignment readingOrder="0"/>
    </xf>
    <xf borderId="19" fillId="0" fontId="20" numFmtId="9" xfId="0" applyAlignment="1" applyBorder="1" applyFont="1" applyNumberFormat="1">
      <alignment readingOrder="0"/>
    </xf>
    <xf borderId="20" fillId="6" fontId="20" numFmtId="0" xfId="0" applyAlignment="1" applyBorder="1" applyFont="1">
      <alignment readingOrder="0"/>
    </xf>
    <xf borderId="21" fillId="0" fontId="21" numFmtId="9" xfId="0" applyAlignment="1" applyBorder="1" applyFont="1" applyNumberFormat="1">
      <alignment readingOrder="0"/>
    </xf>
    <xf borderId="20" fillId="0" fontId="21" numFmtId="165" xfId="0" applyAlignment="1" applyBorder="1" applyFont="1" applyNumberFormat="1">
      <alignment readingOrder="0"/>
    </xf>
    <xf borderId="21" fillId="0" fontId="8" numFmtId="3" xfId="0" applyAlignment="1" applyBorder="1" applyFont="1" applyNumberFormat="1">
      <alignment readingOrder="0"/>
    </xf>
    <xf borderId="20" fillId="0" fontId="8" numFmtId="3" xfId="0" applyBorder="1" applyFont="1" applyNumberFormat="1"/>
    <xf borderId="23" fillId="0" fontId="21" numFmtId="165" xfId="0" applyAlignment="1" applyBorder="1" applyFont="1" applyNumberFormat="1">
      <alignment readingOrder="0"/>
    </xf>
    <xf borderId="26" fillId="0" fontId="20" numFmtId="9" xfId="0" applyAlignment="1" applyBorder="1" applyFont="1" applyNumberFormat="1">
      <alignment readingOrder="0"/>
    </xf>
    <xf borderId="6" fillId="6" fontId="8" numFmtId="3" xfId="0" applyBorder="1" applyFont="1" applyNumberFormat="1"/>
    <xf borderId="8" fillId="6" fontId="20" numFmtId="9" xfId="0" applyBorder="1" applyFont="1" applyNumberFormat="1"/>
    <xf borderId="33" fillId="0" fontId="21" numFmtId="9" xfId="0" applyAlignment="1" applyBorder="1" applyFont="1" applyNumberFormat="1">
      <alignment readingOrder="0"/>
    </xf>
    <xf borderId="8" fillId="0" fontId="21" numFmtId="165" xfId="0" applyAlignment="1" applyBorder="1" applyFont="1" applyNumberFormat="1">
      <alignment readingOrder="0"/>
    </xf>
    <xf borderId="33" fillId="0" fontId="8" numFmtId="3" xfId="0" applyAlignment="1" applyBorder="1" applyFont="1" applyNumberFormat="1">
      <alignment readingOrder="0"/>
    </xf>
    <xf borderId="8" fillId="0" fontId="8" numFmtId="3" xfId="0" applyBorder="1" applyFont="1" applyNumberFormat="1"/>
    <xf borderId="34" fillId="0" fontId="21" numFmtId="3" xfId="0" applyAlignment="1" applyBorder="1" applyFont="1" applyNumberFormat="1">
      <alignment readingOrder="0"/>
    </xf>
    <xf borderId="35" fillId="0" fontId="21" numFmtId="165" xfId="0" applyAlignment="1" applyBorder="1" applyFont="1" applyNumberFormat="1">
      <alignment readingOrder="0"/>
    </xf>
    <xf borderId="9" fillId="6" fontId="21" numFmtId="3" xfId="0" applyAlignment="1" applyBorder="1" applyFont="1" applyNumberFormat="1">
      <alignment readingOrder="0"/>
    </xf>
    <xf borderId="36" fillId="0" fontId="8" numFmtId="3" xfId="0" applyAlignment="1" applyBorder="1" applyFont="1" applyNumberFormat="1">
      <alignment readingOrder="0"/>
    </xf>
    <xf borderId="37" fillId="0" fontId="8" numFmtId="9" xfId="0" applyAlignment="1" applyBorder="1" applyFont="1" applyNumberFormat="1">
      <alignment horizontal="center" readingOrder="0"/>
    </xf>
    <xf borderId="36" fillId="14" fontId="8" numFmtId="3" xfId="0" applyAlignment="1" applyBorder="1" applyFont="1" applyNumberFormat="1">
      <alignment readingOrder="0"/>
    </xf>
    <xf borderId="33" fillId="0" fontId="8" numFmtId="3" xfId="0" applyBorder="1" applyFont="1" applyNumberFormat="1"/>
    <xf borderId="33" fillId="0" fontId="8" numFmtId="165" xfId="0" applyBorder="1" applyFont="1" applyNumberFormat="1"/>
    <xf borderId="37" fillId="0" fontId="8" numFmtId="10" xfId="0" applyAlignment="1" applyBorder="1" applyFont="1" applyNumberFormat="1">
      <alignment readingOrder="0"/>
    </xf>
    <xf borderId="33" fillId="0" fontId="8" numFmtId="164" xfId="0" applyBorder="1" applyFont="1" applyNumberFormat="1"/>
    <xf borderId="36" fillId="0" fontId="8" numFmtId="164" xfId="0" applyBorder="1" applyFont="1" applyNumberFormat="1"/>
    <xf borderId="37" fillId="0" fontId="20" numFmtId="9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horizontal="center"/>
    </xf>
    <xf borderId="0" fillId="0" fontId="3" numFmtId="166" xfId="0" applyFont="1" applyNumberFormat="1"/>
    <xf borderId="0" fillId="0" fontId="22" numFmtId="0" xfId="0" applyFont="1"/>
    <xf borderId="33" fillId="15" fontId="23" numFmtId="0" xfId="0" applyAlignment="1" applyBorder="1" applyFill="1" applyFont="1">
      <alignment horizontal="center" shrinkToFit="0" wrapText="1"/>
    </xf>
    <xf borderId="33" fillId="15" fontId="22" numFmtId="0" xfId="0" applyBorder="1" applyFont="1"/>
    <xf borderId="18" fillId="0" fontId="22" numFmtId="0" xfId="0" applyBorder="1" applyFont="1"/>
    <xf borderId="36" fillId="16" fontId="23" numFmtId="0" xfId="0" applyAlignment="1" applyBorder="1" applyFill="1" applyFont="1">
      <alignment horizontal="center" shrinkToFit="0" wrapText="1"/>
    </xf>
    <xf borderId="36" fillId="16" fontId="23" numFmtId="0" xfId="0" applyAlignment="1" applyBorder="1" applyFont="1">
      <alignment horizontal="center" shrinkToFit="0" wrapText="1"/>
    </xf>
    <xf borderId="36" fillId="16" fontId="23" numFmtId="0" xfId="0" applyAlignment="1" applyBorder="1" applyFont="1">
      <alignment horizontal="center" readingOrder="0" shrinkToFit="0" wrapText="1"/>
    </xf>
    <xf borderId="36" fillId="16" fontId="23" numFmtId="0" xfId="0" applyAlignment="1" applyBorder="1" applyFont="1">
      <alignment horizontal="center" readingOrder="0" shrinkToFit="0" wrapText="1"/>
    </xf>
    <xf borderId="38" fillId="0" fontId="22" numFmtId="0" xfId="0" applyBorder="1" applyFont="1"/>
    <xf borderId="33" fillId="6" fontId="23" numFmtId="0" xfId="0" applyAlignment="1" applyBorder="1" applyFont="1">
      <alignment horizontal="center" shrinkToFit="0" vertical="bottom" wrapText="1"/>
    </xf>
    <xf borderId="33" fillId="6" fontId="22" numFmtId="0" xfId="0" applyAlignment="1" applyBorder="1" applyFont="1">
      <alignment vertical="bottom"/>
    </xf>
    <xf borderId="33" fillId="6" fontId="22" numFmtId="0" xfId="0" applyBorder="1" applyFont="1"/>
    <xf borderId="33" fillId="6" fontId="22" numFmtId="3" xfId="0" applyBorder="1" applyFont="1" applyNumberFormat="1"/>
    <xf borderId="33" fillId="6" fontId="22" numFmtId="167" xfId="0" applyBorder="1" applyFont="1" applyNumberFormat="1"/>
    <xf borderId="38" fillId="0" fontId="8" numFmtId="0" xfId="0" applyAlignment="1" applyBorder="1" applyFont="1">
      <alignment horizontal="center" shrinkToFit="0" wrapText="1"/>
    </xf>
    <xf borderId="36" fillId="0" fontId="24" numFmtId="0" xfId="0" applyAlignment="1" applyBorder="1" applyFont="1">
      <alignment horizontal="center" readingOrder="0" shrinkToFit="0" vertical="bottom" wrapText="1"/>
    </xf>
    <xf borderId="36" fillId="0" fontId="24" numFmtId="0" xfId="0" applyAlignment="1" applyBorder="1" applyFont="1">
      <alignment horizontal="center" shrinkToFit="0" vertical="bottom" wrapText="1"/>
    </xf>
    <xf borderId="36" fillId="17" fontId="24" numFmtId="0" xfId="0" applyAlignment="1" applyBorder="1" applyFill="1" applyFont="1">
      <alignment horizontal="center" shrinkToFit="0" wrapText="1"/>
    </xf>
    <xf borderId="36" fillId="17" fontId="24" numFmtId="0" xfId="0" applyAlignment="1" applyBorder="1" applyFont="1">
      <alignment horizontal="center" shrinkToFit="0" vertical="bottom" wrapText="1"/>
    </xf>
    <xf borderId="36" fillId="0" fontId="24" numFmtId="3" xfId="0" applyAlignment="1" applyBorder="1" applyFont="1" applyNumberFormat="1">
      <alignment horizontal="center" shrinkToFit="0" wrapText="1"/>
    </xf>
    <xf borderId="36" fillId="0" fontId="24" numFmtId="167" xfId="0" applyAlignment="1" applyBorder="1" applyFont="1" applyNumberFormat="1">
      <alignment horizontal="center" shrinkToFit="0" wrapText="1"/>
    </xf>
    <xf borderId="39" fillId="0" fontId="24" numFmtId="0" xfId="0" applyAlignment="1" applyBorder="1" applyFont="1">
      <alignment horizontal="center" readingOrder="0" shrinkToFit="0" vertical="bottom" wrapText="1"/>
    </xf>
    <xf borderId="39" fillId="0" fontId="24" numFmtId="0" xfId="0" applyAlignment="1" applyBorder="1" applyFont="1">
      <alignment horizontal="center" shrinkToFit="0" vertical="bottom" wrapText="1"/>
    </xf>
    <xf borderId="39" fillId="17" fontId="24" numFmtId="0" xfId="0" applyAlignment="1" applyBorder="1" applyFont="1">
      <alignment horizontal="center" shrinkToFit="0" wrapText="1"/>
    </xf>
    <xf borderId="39" fillId="17" fontId="24" numFmtId="0" xfId="0" applyAlignment="1" applyBorder="1" applyFont="1">
      <alignment horizontal="center" shrinkToFit="0" vertical="bottom" wrapText="1"/>
    </xf>
    <xf borderId="39" fillId="0" fontId="24" numFmtId="3" xfId="0" applyAlignment="1" applyBorder="1" applyFont="1" applyNumberFormat="1">
      <alignment horizontal="center" shrinkToFit="0" wrapText="1"/>
    </xf>
    <xf borderId="39" fillId="0" fontId="24" numFmtId="167" xfId="0" applyAlignment="1" applyBorder="1" applyFont="1" applyNumberFormat="1">
      <alignment horizontal="center" shrinkToFit="0" wrapText="1"/>
    </xf>
    <xf borderId="36" fillId="17" fontId="24" numFmtId="0" xfId="0" applyAlignment="1" applyBorder="1" applyFont="1">
      <alignment horizontal="center" readingOrder="0" shrinkToFit="0" vertical="bottom" wrapText="1"/>
    </xf>
    <xf borderId="36" fillId="0" fontId="24" numFmtId="3" xfId="0" applyAlignment="1" applyBorder="1" applyFont="1" applyNumberFormat="1">
      <alignment horizontal="center" shrinkToFit="0" vertical="bottom" wrapText="1"/>
    </xf>
    <xf borderId="36" fillId="0" fontId="24" numFmtId="167" xfId="0" applyAlignment="1" applyBorder="1" applyFont="1" applyNumberFormat="1">
      <alignment horizontal="center" shrinkToFit="0" vertical="bottom" wrapText="1"/>
    </xf>
    <xf borderId="39" fillId="17" fontId="24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vertical="bottom"/>
    </xf>
    <xf borderId="38" fillId="0" fontId="22" numFmtId="0" xfId="0" applyAlignment="1" applyBorder="1" applyFont="1">
      <alignment vertical="bottom"/>
    </xf>
    <xf borderId="36" fillId="6" fontId="24" numFmtId="0" xfId="0" applyAlignment="1" applyBorder="1" applyFont="1">
      <alignment horizontal="center" shrinkToFit="0" vertical="bottom" wrapText="1"/>
    </xf>
    <xf borderId="36" fillId="6" fontId="24" numFmtId="0" xfId="0" applyAlignment="1" applyBorder="1" applyFont="1">
      <alignment horizontal="center" readingOrder="0" shrinkToFit="0" vertical="bottom" wrapText="1"/>
    </xf>
    <xf borderId="4" fillId="18" fontId="23" numFmtId="0" xfId="0" applyAlignment="1" applyBorder="1" applyFill="1" applyFont="1">
      <alignment vertical="bottom"/>
    </xf>
    <xf borderId="11" fillId="18" fontId="23" numFmtId="0" xfId="0" applyAlignment="1" applyBorder="1" applyFont="1">
      <alignment vertical="bottom"/>
    </xf>
    <xf borderId="12" fillId="18" fontId="23" numFmtId="0" xfId="0" applyAlignment="1" applyBorder="1" applyFont="1">
      <alignment vertical="bottom"/>
    </xf>
    <xf borderId="40" fillId="3" fontId="25" numFmtId="0" xfId="0" applyAlignment="1" applyBorder="1" applyFont="1">
      <alignment vertical="bottom"/>
    </xf>
    <xf borderId="40" fillId="3" fontId="25" numFmtId="0" xfId="0" applyAlignment="1" applyBorder="1" applyFont="1">
      <alignment horizontal="right" readingOrder="0" shrinkToFit="0" vertical="bottom" wrapText="1"/>
    </xf>
    <xf borderId="40" fillId="3" fontId="25" numFmtId="0" xfId="0" applyAlignment="1" applyBorder="1" applyFont="1">
      <alignment horizontal="center" readingOrder="0" shrinkToFit="0" vertical="bottom" wrapText="1"/>
    </xf>
    <xf borderId="40" fillId="6" fontId="24" numFmtId="0" xfId="0" applyAlignment="1" applyBorder="1" applyFont="1">
      <alignment vertical="bottom"/>
    </xf>
    <xf borderId="40" fillId="6" fontId="24" numFmtId="166" xfId="0" applyAlignment="1" applyBorder="1" applyFont="1" applyNumberFormat="1">
      <alignment horizontal="right" readingOrder="0" vertical="bottom"/>
    </xf>
    <xf borderId="40" fillId="6" fontId="26" numFmtId="166" xfId="0" applyAlignment="1" applyBorder="1" applyFont="1" applyNumberFormat="1">
      <alignment horizontal="right" readingOrder="0" vertical="bottom"/>
    </xf>
    <xf borderId="40" fillId="6" fontId="24" numFmtId="9" xfId="0" applyAlignment="1" applyBorder="1" applyFont="1" applyNumberFormat="1">
      <alignment horizontal="right" readingOrder="0" vertical="bottom"/>
    </xf>
    <xf borderId="40" fillId="6" fontId="26" numFmtId="165" xfId="0" applyAlignment="1" applyBorder="1" applyFont="1" applyNumberFormat="1">
      <alignment horizontal="right" vertical="bottom"/>
    </xf>
    <xf borderId="40" fillId="6" fontId="23" numFmtId="0" xfId="0" applyAlignment="1" applyBorder="1" applyFont="1">
      <alignment vertical="bottom"/>
    </xf>
    <xf borderId="40" fillId="6" fontId="23" numFmtId="166" xfId="0" applyAlignment="1" applyBorder="1" applyFont="1" applyNumberFormat="1">
      <alignment horizontal="right" vertical="bottom"/>
    </xf>
    <xf borderId="40" fillId="6" fontId="24" numFmtId="165" xfId="0" applyAlignment="1" applyBorder="1" applyFont="1" applyNumberFormat="1">
      <alignment horizontal="right" readingOrder="0" vertical="bottom"/>
    </xf>
    <xf borderId="40" fillId="6" fontId="24" numFmtId="0" xfId="0" applyAlignment="1" applyBorder="1" applyFont="1">
      <alignment readingOrder="0" vertical="bottom"/>
    </xf>
    <xf borderId="40" fillId="6" fontId="23" numFmtId="165" xfId="0" applyAlignment="1" applyBorder="1" applyFont="1" applyNumberFormat="1">
      <alignment horizontal="right" vertical="bottom"/>
    </xf>
    <xf borderId="40" fillId="6" fontId="24" numFmtId="166" xfId="0" applyAlignment="1" applyBorder="1" applyFont="1" applyNumberFormat="1">
      <alignment horizontal="right" vertical="bottom"/>
    </xf>
    <xf borderId="40" fillId="6" fontId="24" numFmtId="0" xfId="0" applyAlignment="1" applyBorder="1" applyFont="1">
      <alignment horizontal="right" vertical="bottom"/>
    </xf>
    <xf borderId="40" fillId="19" fontId="23" numFmtId="0" xfId="0" applyAlignment="1" applyBorder="1" applyFill="1" applyFont="1">
      <alignment vertical="bottom"/>
    </xf>
    <xf borderId="40" fillId="19" fontId="23" numFmtId="166" xfId="0" applyAlignment="1" applyBorder="1" applyFont="1" applyNumberFormat="1">
      <alignment horizontal="right" vertical="bottom"/>
    </xf>
    <xf borderId="40" fillId="19" fontId="23" numFmtId="0" xfId="0" applyAlignment="1" applyBorder="1" applyFont="1">
      <alignment horizontal="right" vertical="bottom"/>
    </xf>
    <xf borderId="40" fillId="6" fontId="24" numFmtId="1" xfId="0" applyAlignment="1" applyBorder="1" applyFont="1" applyNumberFormat="1">
      <alignment horizontal="right" readingOrder="0" vertical="bottom"/>
    </xf>
    <xf borderId="40" fillId="6" fontId="26" numFmtId="3" xfId="0" applyAlignment="1" applyBorder="1" applyFont="1" applyNumberFormat="1">
      <alignment horizontal="right" readingOrder="0" vertical="bottom"/>
    </xf>
    <xf borderId="40" fillId="6" fontId="23" numFmtId="164" xfId="0" applyAlignment="1" applyBorder="1" applyFont="1" applyNumberFormat="1">
      <alignment horizontal="right" vertical="bottom"/>
    </xf>
    <xf borderId="40" fillId="6" fontId="24" numFmtId="164" xfId="0" applyAlignment="1" applyBorder="1" applyFont="1" applyNumberFormat="1">
      <alignment horizontal="right" readingOrder="0" vertical="bottom"/>
    </xf>
    <xf borderId="40" fillId="6" fontId="24" numFmtId="164" xfId="0" applyAlignment="1" applyBorder="1" applyFont="1" applyNumberFormat="1">
      <alignment horizontal="right" vertical="bottom"/>
    </xf>
    <xf borderId="40" fillId="19" fontId="23" numFmtId="164" xfId="0" applyAlignment="1" applyBorder="1" applyFont="1" applyNumberFormat="1">
      <alignment horizontal="right" vertical="bottom"/>
    </xf>
    <xf borderId="40" fillId="19" fontId="23" numFmtId="0" xfId="0" applyAlignment="1" applyBorder="1" applyFont="1">
      <alignment readingOrder="0" vertical="bottom"/>
    </xf>
    <xf borderId="40" fillId="19" fontId="23" numFmtId="3" xfId="0" applyAlignment="1" applyBorder="1" applyFont="1" applyNumberFormat="1">
      <alignment horizontal="right" readingOrder="0" vertical="bottom"/>
    </xf>
    <xf borderId="40" fillId="19" fontId="23" numFmtId="3" xfId="0" applyAlignment="1" applyBorder="1" applyFont="1" applyNumberFormat="1">
      <alignment horizontal="right" vertical="bottom"/>
    </xf>
    <xf borderId="0" fillId="0" fontId="23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18" numFmtId="168" xfId="0" applyAlignment="1" applyFont="1" applyNumberFormat="1">
      <alignment readingOrder="0"/>
    </xf>
    <xf borderId="0" fillId="2" fontId="18" numFmtId="168" xfId="0" applyFont="1" applyNumberFormat="1"/>
    <xf borderId="0" fillId="0" fontId="27" numFmtId="0" xfId="0" applyAlignment="1" applyFont="1">
      <alignment shrinkToFit="0" wrapText="1"/>
    </xf>
    <xf borderId="0" fillId="0" fontId="18" numFmtId="169" xfId="0" applyAlignment="1" applyFont="1" applyNumberFormat="1">
      <alignment readingOrder="0" shrinkToFit="0" wrapText="1"/>
    </xf>
    <xf borderId="0" fillId="0" fontId="27" numFmtId="169" xfId="0" applyAlignment="1" applyFont="1" applyNumberFormat="1">
      <alignment shrinkToFit="0" wrapText="1"/>
    </xf>
    <xf borderId="0" fillId="0" fontId="6" numFmtId="168" xfId="0" applyAlignment="1" applyFont="1" applyNumberFormat="1">
      <alignment readingOrder="0"/>
    </xf>
    <xf borderId="0" fillId="0" fontId="6" numFmtId="168" xfId="0" applyFont="1" applyNumberFormat="1"/>
    <xf borderId="0" fillId="0" fontId="27" numFmtId="169" xfId="0" applyFont="1" applyNumberFormat="1"/>
    <xf borderId="0" fillId="0" fontId="6" numFmtId="169" xfId="0" applyAlignment="1" applyFont="1" applyNumberFormat="1">
      <alignment readingOrder="0"/>
    </xf>
    <xf borderId="0" fillId="0" fontId="27" numFmtId="10" xfId="0" applyAlignment="1" applyFont="1" applyNumberFormat="1">
      <alignment readingOrder="0"/>
    </xf>
    <xf borderId="0" fillId="0" fontId="6" numFmtId="0" xfId="0" applyFont="1"/>
    <xf borderId="0" fillId="0" fontId="27" numFmtId="168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5.88"/>
    <col customWidth="1" min="3" max="3" width="62.63"/>
  </cols>
  <sheetData>
    <row r="1">
      <c r="A1" s="1" t="s">
        <v>0</v>
      </c>
      <c r="B1" s="2"/>
      <c r="C1" s="3"/>
      <c r="D1" s="4"/>
      <c r="E1" s="4"/>
    </row>
    <row r="2">
      <c r="A2" s="4"/>
      <c r="B2" s="5" t="s">
        <v>1</v>
      </c>
      <c r="C2" s="6" t="s">
        <v>2</v>
      </c>
      <c r="D2" s="4"/>
      <c r="E2" s="4"/>
    </row>
    <row r="3">
      <c r="A3" s="4"/>
      <c r="B3" s="5" t="s">
        <v>3</v>
      </c>
      <c r="C3" s="6" t="s">
        <v>4</v>
      </c>
      <c r="D3" s="4"/>
      <c r="E3" s="4"/>
    </row>
    <row r="4">
      <c r="A4" s="4"/>
      <c r="B4" s="5" t="s">
        <v>5</v>
      </c>
      <c r="C4" s="6" t="s">
        <v>6</v>
      </c>
      <c r="D4" s="4"/>
      <c r="E4" s="4"/>
    </row>
    <row r="5">
      <c r="A5" s="4"/>
      <c r="B5" s="5" t="s">
        <v>7</v>
      </c>
      <c r="C5" s="6" t="s">
        <v>8</v>
      </c>
      <c r="D5" s="4"/>
      <c r="E5" s="4"/>
    </row>
    <row r="6">
      <c r="A6" s="4"/>
      <c r="B6" s="7"/>
      <c r="C6" s="8"/>
      <c r="D6" s="4"/>
      <c r="E6" s="4"/>
    </row>
    <row r="7">
      <c r="A7" s="1" t="s">
        <v>9</v>
      </c>
      <c r="B7" s="9"/>
      <c r="C7" s="8"/>
      <c r="D7" s="4"/>
      <c r="E7" s="4"/>
    </row>
    <row r="8">
      <c r="A8" s="4"/>
      <c r="B8" s="5" t="s">
        <v>10</v>
      </c>
      <c r="C8" s="6" t="s">
        <v>11</v>
      </c>
      <c r="D8" s="4"/>
      <c r="E8" s="4"/>
    </row>
    <row r="9">
      <c r="A9" s="4"/>
      <c r="B9" s="10" t="s">
        <v>12</v>
      </c>
      <c r="C9" s="6" t="s">
        <v>13</v>
      </c>
      <c r="D9" s="4"/>
      <c r="E9" s="4"/>
    </row>
    <row r="10">
      <c r="A10" s="4"/>
      <c r="B10" s="11"/>
      <c r="C10" s="6" t="s">
        <v>14</v>
      </c>
      <c r="D10" s="4"/>
      <c r="E10" s="4"/>
    </row>
    <row r="11">
      <c r="A11" s="4"/>
      <c r="B11" s="5" t="s">
        <v>15</v>
      </c>
      <c r="C11" s="6" t="s">
        <v>16</v>
      </c>
      <c r="D11" s="4"/>
      <c r="E11" s="4"/>
    </row>
    <row r="12">
      <c r="A12" s="4"/>
      <c r="B12" s="5" t="s">
        <v>17</v>
      </c>
      <c r="C12" s="6" t="s">
        <v>18</v>
      </c>
      <c r="D12" s="4"/>
      <c r="E12" s="4"/>
    </row>
    <row r="13">
      <c r="A13" s="4"/>
      <c r="B13" s="5" t="s">
        <v>19</v>
      </c>
      <c r="C13" s="6" t="s">
        <v>20</v>
      </c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</sheetData>
  <mergeCells count="1">
    <mergeCell ref="B9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27.5"/>
  </cols>
  <sheetData>
    <row r="1" ht="27.75" customHeight="1">
      <c r="A1" s="4"/>
      <c r="B1" s="12"/>
      <c r="C1" s="13" t="s">
        <v>21</v>
      </c>
      <c r="D1" s="13" t="s">
        <v>22</v>
      </c>
      <c r="E1" s="13" t="s">
        <v>23</v>
      </c>
      <c r="F1" s="14"/>
      <c r="G1" s="14"/>
      <c r="H1" s="14"/>
      <c r="I1" s="14"/>
      <c r="J1" s="15"/>
      <c r="K1" s="4"/>
      <c r="M1" s="4"/>
      <c r="N1" s="16"/>
      <c r="O1" s="4"/>
      <c r="P1" s="17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4"/>
      <c r="B2" s="18" t="s">
        <v>24</v>
      </c>
      <c r="C2" s="19">
        <v>1.0</v>
      </c>
      <c r="D2" s="19">
        <v>1.0</v>
      </c>
      <c r="E2" s="19">
        <f t="shared" ref="E2:E4" si="1">SUM(C2:D2)</f>
        <v>2</v>
      </c>
      <c r="F2" s="14"/>
      <c r="G2" s="14"/>
      <c r="H2" s="14"/>
      <c r="I2" s="14"/>
      <c r="J2" s="4"/>
      <c r="K2" s="4"/>
      <c r="L2" s="4"/>
      <c r="M2" s="4"/>
      <c r="N2" s="20"/>
      <c r="O2" s="4"/>
      <c r="P2" s="1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4"/>
      <c r="B3" s="18" t="s">
        <v>25</v>
      </c>
      <c r="C3" s="19">
        <v>6.0</v>
      </c>
      <c r="D3" s="19">
        <v>2.0</v>
      </c>
      <c r="E3" s="19">
        <f t="shared" si="1"/>
        <v>8</v>
      </c>
      <c r="F3" s="14"/>
      <c r="G3" s="14"/>
      <c r="H3" s="14"/>
      <c r="I3" s="14"/>
      <c r="J3" s="4"/>
      <c r="K3" s="4"/>
      <c r="L3" s="4"/>
      <c r="M3" s="4"/>
      <c r="N3" s="20"/>
      <c r="O3" s="4"/>
      <c r="P3" s="17"/>
      <c r="Q3" s="4"/>
      <c r="R3" s="4"/>
      <c r="S3" s="4"/>
      <c r="T3" s="4"/>
      <c r="U3" s="4"/>
      <c r="V3" s="4"/>
      <c r="W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4"/>
      <c r="B4" s="18" t="s">
        <v>26</v>
      </c>
      <c r="C4" s="19">
        <v>180.0</v>
      </c>
      <c r="D4" s="19">
        <f>65+60</f>
        <v>125</v>
      </c>
      <c r="E4" s="19">
        <f t="shared" si="1"/>
        <v>305</v>
      </c>
      <c r="F4" s="21"/>
      <c r="G4" s="14"/>
      <c r="H4" s="14"/>
      <c r="I4" s="14"/>
      <c r="J4" s="4"/>
      <c r="K4" s="4"/>
      <c r="L4" s="4"/>
      <c r="M4" s="4"/>
      <c r="N4" s="20"/>
      <c r="O4" s="4"/>
      <c r="P4" s="1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4"/>
      <c r="B5" s="18" t="s">
        <v>27</v>
      </c>
      <c r="C5" s="19">
        <v>489.0</v>
      </c>
      <c r="D5" s="19">
        <v>454.84</v>
      </c>
      <c r="E5" s="19">
        <f>E6/E4</f>
        <v>0</v>
      </c>
      <c r="F5" s="21"/>
      <c r="G5" s="14"/>
      <c r="H5" s="14"/>
      <c r="I5" s="14"/>
      <c r="J5" s="22"/>
      <c r="K5" s="4"/>
      <c r="L5" s="4"/>
      <c r="M5" s="4"/>
      <c r="N5" s="23"/>
      <c r="O5" s="4"/>
      <c r="P5" s="17"/>
      <c r="Q5" s="4"/>
      <c r="R5" s="4"/>
      <c r="S5" s="4"/>
      <c r="T5" s="4"/>
      <c r="U5" s="4"/>
      <c r="V5" s="4"/>
      <c r="W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4"/>
      <c r="B6" s="18" t="s">
        <v>28</v>
      </c>
      <c r="C6" s="24"/>
      <c r="D6" s="24"/>
      <c r="E6" s="24"/>
      <c r="F6" s="25"/>
      <c r="G6" s="14"/>
      <c r="H6" s="14"/>
      <c r="I6" s="14"/>
      <c r="J6" s="4"/>
      <c r="K6" s="4"/>
      <c r="L6" s="4"/>
      <c r="M6" s="4"/>
      <c r="N6" s="26"/>
      <c r="O6" s="4"/>
      <c r="P6" s="17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4"/>
      <c r="B7" s="18" t="s">
        <v>29</v>
      </c>
      <c r="C7" s="27"/>
      <c r="D7" s="27"/>
      <c r="E7" s="27"/>
      <c r="F7" s="14"/>
      <c r="G7" s="14"/>
      <c r="H7" s="14"/>
      <c r="I7" s="14"/>
      <c r="J7" s="4"/>
      <c r="K7" s="4"/>
      <c r="L7" s="4"/>
      <c r="M7" s="4"/>
      <c r="N7" s="20"/>
      <c r="O7" s="4"/>
      <c r="P7" s="17"/>
      <c r="Q7" s="4"/>
      <c r="R7" s="4"/>
      <c r="S7" s="4"/>
      <c r="T7" s="4"/>
      <c r="U7" s="4"/>
      <c r="V7" s="4"/>
      <c r="W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4"/>
      <c r="B8" s="28" t="s">
        <v>30</v>
      </c>
      <c r="C8" s="27"/>
      <c r="D8" s="27"/>
      <c r="E8" s="27"/>
      <c r="F8" s="14"/>
      <c r="G8" s="14"/>
      <c r="H8" s="14"/>
      <c r="I8" s="14"/>
      <c r="J8" s="4"/>
      <c r="K8" s="4"/>
      <c r="L8" s="4"/>
      <c r="M8" s="4"/>
      <c r="N8" s="20"/>
      <c r="O8" s="4"/>
      <c r="P8" s="1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4"/>
      <c r="B9" s="29" t="s">
        <v>31</v>
      </c>
      <c r="C9" s="19">
        <v>0.0</v>
      </c>
      <c r="D9" s="19">
        <v>0.0</v>
      </c>
      <c r="E9" s="19">
        <f>SUM(C9:D9)</f>
        <v>0</v>
      </c>
      <c r="F9" s="14"/>
      <c r="G9" s="14"/>
      <c r="H9" s="14"/>
      <c r="I9" s="14"/>
      <c r="J9" s="4"/>
      <c r="K9" s="4"/>
      <c r="L9" s="4"/>
      <c r="M9" s="4"/>
      <c r="N9" s="20"/>
      <c r="O9" s="4"/>
      <c r="P9" s="17"/>
      <c r="Q9" s="4"/>
      <c r="R9" s="4"/>
      <c r="S9" s="4"/>
      <c r="T9" s="4"/>
      <c r="U9" s="4"/>
      <c r="V9" s="4"/>
      <c r="W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30"/>
      <c r="B10" s="29" t="s">
        <v>32</v>
      </c>
      <c r="C10" s="31">
        <f t="shared" ref="C10:D10" si="2">D10</f>
        <v>0.005</v>
      </c>
      <c r="D10" s="31">
        <f t="shared" si="2"/>
        <v>0.005</v>
      </c>
      <c r="E10" s="31">
        <v>0.005</v>
      </c>
      <c r="F10" s="14"/>
      <c r="G10" s="14"/>
      <c r="H10" s="14"/>
      <c r="I10" s="14"/>
      <c r="J10" s="4"/>
      <c r="K10" s="4"/>
      <c r="L10" s="4"/>
      <c r="M10" s="4"/>
      <c r="N10" s="20"/>
      <c r="O10" s="4"/>
      <c r="P10" s="1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0"/>
      <c r="AE10" s="30"/>
      <c r="AF10" s="30"/>
      <c r="AG10" s="4"/>
    </row>
    <row r="11">
      <c r="A11" s="4"/>
      <c r="B11" s="18" t="s">
        <v>33</v>
      </c>
      <c r="C11" s="27">
        <f t="shared" ref="C11:D11" si="3">C8-(C9/C15*C6/1000)+(C10*C8)</f>
        <v>0</v>
      </c>
      <c r="D11" s="27">
        <f t="shared" si="3"/>
        <v>0</v>
      </c>
      <c r="E11" s="27">
        <f>SUM(C11:D11)</f>
        <v>0</v>
      </c>
      <c r="F11" s="14"/>
      <c r="G11" s="14"/>
      <c r="H11" s="14"/>
      <c r="I11" s="14"/>
      <c r="J11" s="4"/>
      <c r="K11" s="4"/>
      <c r="L11" s="4"/>
      <c r="M11" s="4"/>
      <c r="N11" s="20"/>
      <c r="O11" s="4"/>
      <c r="P11" s="17"/>
      <c r="Q11" s="4"/>
      <c r="R11" s="4"/>
      <c r="S11" s="4"/>
      <c r="T11" s="4"/>
      <c r="U11" s="4"/>
      <c r="V11" s="4"/>
      <c r="W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"/>
      <c r="B12" s="32" t="s">
        <v>34</v>
      </c>
      <c r="C12" s="33">
        <f t="shared" ref="C12:E12" si="4">sum(C7,C11)</f>
        <v>0</v>
      </c>
      <c r="D12" s="33">
        <f t="shared" si="4"/>
        <v>0</v>
      </c>
      <c r="E12" s="33">
        <f t="shared" si="4"/>
        <v>0</v>
      </c>
      <c r="F12" s="14"/>
      <c r="G12" s="14"/>
      <c r="H12" s="14"/>
      <c r="I12" s="25"/>
      <c r="J12" s="4"/>
      <c r="K12" s="4"/>
      <c r="L12" s="4"/>
      <c r="M12" s="4"/>
      <c r="N12" s="20"/>
      <c r="O12" s="4"/>
      <c r="P12" s="1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"/>
      <c r="B13" s="18" t="s">
        <v>35</v>
      </c>
      <c r="C13" s="34" t="str">
        <f t="shared" ref="C13:E13" si="5">C12/C7</f>
        <v>#DIV/0!</v>
      </c>
      <c r="D13" s="34" t="str">
        <f t="shared" si="5"/>
        <v>#DIV/0!</v>
      </c>
      <c r="E13" s="34" t="str">
        <f t="shared" si="5"/>
        <v>#DIV/0!</v>
      </c>
      <c r="F13" s="14"/>
      <c r="G13" s="14"/>
      <c r="H13" s="14"/>
      <c r="I13" s="14"/>
      <c r="J13" s="35"/>
      <c r="K13" s="4"/>
      <c r="L13" s="4"/>
      <c r="M13" s="4"/>
      <c r="N13" s="36"/>
      <c r="O13" s="4"/>
      <c r="P13" s="17"/>
      <c r="Q13" s="4"/>
      <c r="R13" s="4"/>
      <c r="S13" s="4"/>
      <c r="T13" s="4"/>
      <c r="U13" s="4"/>
      <c r="V13" s="4"/>
      <c r="W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4"/>
      <c r="B14" s="18" t="s">
        <v>36</v>
      </c>
      <c r="C14" s="37" t="str">
        <f t="shared" ref="C14:E14" si="6">C7*1000/C6</f>
        <v>#DIV/0!</v>
      </c>
      <c r="D14" s="37" t="str">
        <f t="shared" si="6"/>
        <v>#DIV/0!</v>
      </c>
      <c r="E14" s="37" t="str">
        <f t="shared" si="6"/>
        <v>#DIV/0!</v>
      </c>
      <c r="F14" s="14"/>
      <c r="G14" s="14"/>
      <c r="H14" s="14"/>
      <c r="I14" s="14"/>
      <c r="J14" s="35"/>
      <c r="K14" s="4"/>
      <c r="L14" s="4"/>
      <c r="M14" s="38"/>
      <c r="N14" s="36"/>
      <c r="O14" s="38"/>
      <c r="P14" s="17"/>
      <c r="Q14" s="4"/>
      <c r="R14" s="3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4"/>
      <c r="B15" s="40" t="s">
        <v>37</v>
      </c>
      <c r="C15" s="41">
        <f>IFERROR(__xludf.DUMMYFUNCTION("importrange(""https://docs.google.com/spreadsheets/d/1c1Y7VPm6-NXUmjLXeQDgkBENw4xVCl51sk_IItPcjCY/edit#gid=748615133"",""FX Rates!b5"")"),1242.2529166666666)</f>
        <v>1242.252917</v>
      </c>
      <c r="D15" s="41">
        <f t="shared" ref="D15:E15" si="7">C15</f>
        <v>1242.252917</v>
      </c>
      <c r="E15" s="41">
        <f t="shared" si="7"/>
        <v>1242.252917</v>
      </c>
      <c r="F15" s="25"/>
      <c r="G15" s="14"/>
      <c r="H15" s="14"/>
      <c r="I15" s="14"/>
      <c r="J15" s="4"/>
      <c r="K15" s="4"/>
      <c r="L15" s="4"/>
      <c r="M15" s="38"/>
      <c r="N15" s="36"/>
      <c r="O15" s="38"/>
      <c r="P15" s="17"/>
      <c r="Q15" s="4"/>
      <c r="R15" s="39"/>
      <c r="S15" s="4"/>
      <c r="T15" s="4"/>
      <c r="U15" s="4"/>
      <c r="V15" s="4"/>
      <c r="W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4"/>
      <c r="B16" s="42"/>
      <c r="C16" s="43"/>
      <c r="D16" s="43"/>
      <c r="E16" s="43"/>
      <c r="F16" s="14"/>
      <c r="G16" s="14"/>
      <c r="H16" s="14"/>
      <c r="I16" s="14"/>
      <c r="J16" s="4"/>
      <c r="K16" s="4"/>
      <c r="L16" s="4"/>
      <c r="M16" s="38"/>
      <c r="N16" s="20"/>
      <c r="O16" s="38"/>
      <c r="P16" s="17"/>
      <c r="Q16" s="4"/>
      <c r="R16" s="3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13.5" customHeight="1">
      <c r="A17" s="4"/>
      <c r="B17" s="14"/>
      <c r="C17" s="44"/>
      <c r="D17" s="44"/>
      <c r="E17" s="45"/>
      <c r="F17" s="14"/>
      <c r="G17" s="14"/>
      <c r="H17" s="14"/>
      <c r="I17" s="14"/>
      <c r="J17" s="4"/>
      <c r="K17" s="4"/>
      <c r="L17" s="4"/>
      <c r="M17" s="38"/>
      <c r="N17" s="20"/>
      <c r="O17" s="38"/>
      <c r="P17" s="17"/>
      <c r="Q17" s="4"/>
      <c r="R17" s="39"/>
      <c r="S17" s="4"/>
      <c r="T17" s="4"/>
      <c r="U17" s="4"/>
      <c r="V17" s="4"/>
      <c r="W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4.25"/>
    <col customWidth="1" min="3" max="3" width="23.88"/>
    <col customWidth="1" min="4" max="4" width="13.75"/>
    <col customWidth="1" min="5" max="5" width="13.13"/>
    <col customWidth="1" min="6" max="6" width="12.75"/>
    <col customWidth="1" min="7" max="7" width="12.38"/>
    <col customWidth="1" min="8" max="8" width="11.25"/>
    <col customWidth="1" min="9" max="10" width="11.5"/>
    <col customWidth="1" min="11" max="11" width="12.38"/>
    <col customWidth="1" min="12" max="12" width="14.5"/>
    <col customWidth="1" min="13" max="13" width="12.88"/>
    <col customWidth="1" min="14" max="14" width="8.38"/>
    <col customWidth="1" min="15" max="15" width="11.5"/>
    <col customWidth="1" min="16" max="16" width="7.63"/>
    <col customWidth="1" min="17" max="17" width="10.25"/>
    <col customWidth="1" min="18" max="19" width="7.63"/>
    <col customWidth="1" min="20" max="22" width="11.5"/>
    <col customWidth="1" min="23" max="23" width="7.63"/>
    <col customWidth="1" min="24" max="24" width="11.13"/>
  </cols>
  <sheetData>
    <row r="1" ht="6.0" customHeight="1">
      <c r="A1" s="4"/>
      <c r="B1" s="4"/>
      <c r="C1" s="45"/>
      <c r="D1" s="14"/>
      <c r="E1" s="14"/>
      <c r="F1" s="14"/>
      <c r="G1" s="14"/>
      <c r="H1" s="14"/>
      <c r="I1" s="14"/>
      <c r="J1" s="14"/>
      <c r="K1" s="4"/>
      <c r="L1" s="4"/>
      <c r="M1" s="4"/>
      <c r="N1" s="38"/>
      <c r="O1" s="4"/>
      <c r="P1" s="38"/>
      <c r="Q1" s="17"/>
      <c r="R1" s="4"/>
      <c r="S1" s="3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8.25" customHeight="1">
      <c r="A2" s="4"/>
      <c r="B2" s="4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46"/>
      <c r="P2" s="47"/>
      <c r="Q2" s="48"/>
      <c r="R2" s="46"/>
      <c r="S2" s="49"/>
      <c r="T2" s="46"/>
      <c r="U2" s="46"/>
      <c r="V2" s="46"/>
      <c r="W2" s="4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1.5" customHeight="1">
      <c r="A3" s="4"/>
      <c r="B3" s="4"/>
      <c r="C3" s="45"/>
      <c r="D3" s="4"/>
      <c r="E3" s="4"/>
      <c r="F3" s="4"/>
      <c r="G3" s="4"/>
      <c r="H3" s="4"/>
      <c r="I3" s="4"/>
      <c r="J3" s="4"/>
      <c r="K3" s="4"/>
      <c r="L3" s="4"/>
      <c r="M3" s="4"/>
      <c r="N3" s="38"/>
      <c r="O3" s="4"/>
      <c r="P3" s="38"/>
      <c r="Q3" s="17"/>
      <c r="R3" s="4"/>
      <c r="S3" s="39"/>
      <c r="T3" s="4"/>
      <c r="U3" s="4"/>
      <c r="V3" s="4"/>
      <c r="W3" s="4"/>
      <c r="X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8.25" customHeight="1">
      <c r="A4" s="4"/>
      <c r="B4" s="4"/>
      <c r="C4" s="45"/>
      <c r="D4" s="4"/>
      <c r="E4" s="4"/>
      <c r="F4" s="50"/>
      <c r="G4" s="4"/>
      <c r="H4" s="4"/>
      <c r="I4" s="4"/>
      <c r="J4" s="4"/>
      <c r="K4" s="4"/>
      <c r="L4" s="4"/>
      <c r="M4" s="4"/>
      <c r="N4" s="38"/>
      <c r="O4" s="4"/>
      <c r="P4" s="38"/>
      <c r="Q4" s="17"/>
      <c r="R4" s="4"/>
      <c r="S4" s="3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4"/>
      <c r="B5" s="4"/>
      <c r="C5" s="51"/>
      <c r="D5" s="51"/>
      <c r="E5" s="52" t="s">
        <v>21</v>
      </c>
      <c r="F5" s="53"/>
      <c r="G5" s="53"/>
      <c r="H5" s="54"/>
      <c r="I5" s="55" t="s">
        <v>22</v>
      </c>
      <c r="J5" s="53"/>
      <c r="K5" s="53"/>
      <c r="L5" s="54"/>
      <c r="M5" s="4"/>
      <c r="N5" s="56"/>
      <c r="O5" s="4"/>
      <c r="P5" s="56"/>
      <c r="Q5" s="17"/>
      <c r="R5" s="39"/>
      <c r="S5" s="57"/>
      <c r="T5" s="4"/>
      <c r="U5" s="4"/>
      <c r="V5" s="4"/>
      <c r="W5" s="4"/>
      <c r="X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4"/>
      <c r="C6" s="58" t="s">
        <v>38</v>
      </c>
      <c r="D6" s="59"/>
      <c r="E6" s="58" t="s">
        <v>5</v>
      </c>
      <c r="F6" s="59" t="s">
        <v>39</v>
      </c>
      <c r="G6" s="60" t="s">
        <v>40</v>
      </c>
      <c r="H6" s="61" t="s">
        <v>41</v>
      </c>
      <c r="I6" s="62" t="s">
        <v>5</v>
      </c>
      <c r="J6" s="59" t="s">
        <v>42</v>
      </c>
      <c r="K6" s="60" t="s">
        <v>40</v>
      </c>
      <c r="L6" s="63" t="s">
        <v>41</v>
      </c>
      <c r="M6" s="64" t="s">
        <v>43</v>
      </c>
      <c r="N6" s="65" t="s">
        <v>44</v>
      </c>
      <c r="O6" s="64" t="s">
        <v>45</v>
      </c>
      <c r="P6" s="65" t="s">
        <v>44</v>
      </c>
      <c r="Q6" s="66" t="s">
        <v>46</v>
      </c>
      <c r="R6" s="67" t="s">
        <v>47</v>
      </c>
      <c r="S6" s="68" t="s">
        <v>48</v>
      </c>
      <c r="T6" s="69" t="s">
        <v>49</v>
      </c>
      <c r="U6" s="70" t="s">
        <v>50</v>
      </c>
      <c r="V6" s="70" t="s">
        <v>51</v>
      </c>
      <c r="W6" s="71" t="s">
        <v>52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4"/>
      <c r="C7" s="72" t="s">
        <v>53</v>
      </c>
      <c r="D7" s="73"/>
      <c r="E7" s="74"/>
      <c r="F7" s="75"/>
      <c r="G7" s="76"/>
      <c r="H7" s="77"/>
      <c r="I7" s="74"/>
      <c r="J7" s="75"/>
      <c r="K7" s="76"/>
      <c r="L7" s="78"/>
      <c r="M7" s="79"/>
      <c r="N7" s="80"/>
      <c r="O7" s="81"/>
      <c r="P7" s="80"/>
      <c r="Q7" s="82"/>
      <c r="R7" s="83"/>
      <c r="S7" s="84"/>
      <c r="T7" s="85"/>
      <c r="U7" s="86"/>
      <c r="V7" s="85"/>
      <c r="W7" s="87"/>
      <c r="X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88"/>
      <c r="C8" s="89" t="s">
        <v>54</v>
      </c>
      <c r="D8" s="90"/>
      <c r="E8" s="91"/>
      <c r="F8" s="92">
        <f>E8*'Pricing Model'!$C$6</f>
        <v>0</v>
      </c>
      <c r="G8" s="76"/>
      <c r="H8" s="93"/>
      <c r="I8" s="94"/>
      <c r="J8" s="92">
        <f>I8*'Pricing Model'!$D$6</f>
        <v>0</v>
      </c>
      <c r="K8" s="76" t="str">
        <f t="shared" ref="K8:L8" si="1">G8</f>
        <v/>
      </c>
      <c r="L8" s="95" t="str">
        <f t="shared" si="1"/>
        <v/>
      </c>
      <c r="M8" s="96">
        <v>40000.0</v>
      </c>
      <c r="N8" s="97">
        <f>IFERROR($H8/M8-1, 0)</f>
        <v>-1</v>
      </c>
      <c r="O8" s="98">
        <v>32800.0</v>
      </c>
      <c r="P8" s="97">
        <f>IFERROR($H8/O8-1, 0)</f>
        <v>-1</v>
      </c>
      <c r="Q8" s="82">
        <f>SUM($F8,$J8)</f>
        <v>0</v>
      </c>
      <c r="R8" s="83" t="str">
        <f>SUM($F8,$J8)/'Pricing Model'!$E$6</f>
        <v>#DIV/0!</v>
      </c>
      <c r="S8" s="99">
        <v>0.046</v>
      </c>
      <c r="T8" s="85"/>
      <c r="U8" s="86"/>
      <c r="V8" s="85"/>
      <c r="W8" s="87">
        <f>IFERROR((H8-G8)/H8, 0)</f>
        <v>0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72" t="s">
        <v>55</v>
      </c>
      <c r="D9" s="73"/>
      <c r="E9" s="100"/>
      <c r="F9" s="75"/>
      <c r="G9" s="76"/>
      <c r="H9" s="77"/>
      <c r="I9" s="101"/>
      <c r="J9" s="75"/>
      <c r="K9" s="76"/>
      <c r="L9" s="78"/>
      <c r="M9" s="79"/>
      <c r="N9" s="80"/>
      <c r="O9" s="81"/>
      <c r="P9" s="80"/>
      <c r="Q9" s="82"/>
      <c r="R9" s="83"/>
      <c r="S9" s="84"/>
      <c r="T9" s="85"/>
      <c r="U9" s="86"/>
      <c r="V9" s="85"/>
      <c r="W9" s="87"/>
      <c r="X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88"/>
      <c r="C10" s="89" t="s">
        <v>56</v>
      </c>
      <c r="D10" s="90"/>
      <c r="E10" s="91"/>
      <c r="F10" s="92">
        <f>E10*'Pricing Model'!$C$6</f>
        <v>0</v>
      </c>
      <c r="G10" s="76"/>
      <c r="H10" s="93"/>
      <c r="I10" s="94"/>
      <c r="J10" s="92">
        <f>I10*'Pricing Model'!$D$6</f>
        <v>0</v>
      </c>
      <c r="K10" s="76" t="str">
        <f t="shared" ref="K10:L10" si="2">G10</f>
        <v/>
      </c>
      <c r="L10" s="95" t="str">
        <f t="shared" si="2"/>
        <v/>
      </c>
      <c r="M10" s="96">
        <f>M11*1.5</f>
        <v>240000</v>
      </c>
      <c r="N10" s="97">
        <f t="shared" ref="N10:N12" si="4">IFERROR($H10/M10-1, 0)</f>
        <v>-1</v>
      </c>
      <c r="O10" s="98">
        <v>201000.0</v>
      </c>
      <c r="P10" s="97">
        <f t="shared" ref="P10:P12" si="5">IFERROR($H10/O10-1, 0)</f>
        <v>-1</v>
      </c>
      <c r="Q10" s="82">
        <f t="shared" ref="Q10:Q12" si="6">SUM($F10,$J10)</f>
        <v>0</v>
      </c>
      <c r="R10" s="83" t="str">
        <f>SUM($F10,$J10)/'Pricing Model'!$E$6</f>
        <v>#DIV/0!</v>
      </c>
      <c r="S10" s="99">
        <v>0.007</v>
      </c>
      <c r="T10" s="85"/>
      <c r="U10" s="86"/>
      <c r="V10" s="85"/>
      <c r="W10" s="87">
        <f t="shared" ref="W10:W12" si="7">IFERROR((H10-G10)/H10, 0)</f>
        <v>0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88"/>
      <c r="C11" s="102" t="s">
        <v>57</v>
      </c>
      <c r="D11" s="90"/>
      <c r="E11" s="91"/>
      <c r="F11" s="92">
        <f>E11*'Pricing Model'!$C$6</f>
        <v>0</v>
      </c>
      <c r="G11" s="76"/>
      <c r="H11" s="93"/>
      <c r="I11" s="94"/>
      <c r="J11" s="92">
        <f>I11*'Pricing Model'!$D$6</f>
        <v>0</v>
      </c>
      <c r="K11" s="76" t="str">
        <f t="shared" ref="K11:L11" si="3">G11</f>
        <v/>
      </c>
      <c r="L11" s="95" t="str">
        <f t="shared" si="3"/>
        <v/>
      </c>
      <c r="M11" s="96">
        <v>160000.0</v>
      </c>
      <c r="N11" s="97">
        <f t="shared" si="4"/>
        <v>-1</v>
      </c>
      <c r="O11" s="98">
        <v>134000.0</v>
      </c>
      <c r="P11" s="97">
        <f t="shared" si="5"/>
        <v>-1</v>
      </c>
      <c r="Q11" s="82">
        <f t="shared" si="6"/>
        <v>0</v>
      </c>
      <c r="R11" s="83" t="str">
        <f>SUM($F11,$J11)/'Pricing Model'!$E$6</f>
        <v>#DIV/0!</v>
      </c>
      <c r="S11" s="99">
        <v>0.587</v>
      </c>
      <c r="T11" s="85"/>
      <c r="U11" s="86"/>
      <c r="V11" s="85"/>
      <c r="W11" s="87">
        <f t="shared" si="7"/>
        <v>0</v>
      </c>
      <c r="X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88"/>
      <c r="C12" s="103" t="s">
        <v>58</v>
      </c>
      <c r="D12" s="104"/>
      <c r="E12" s="105"/>
      <c r="F12" s="106">
        <f>E12*'Pricing Model'!$C$6</f>
        <v>0</v>
      </c>
      <c r="G12" s="107"/>
      <c r="H12" s="108"/>
      <c r="I12" s="109"/>
      <c r="J12" s="106">
        <f>I12*'Pricing Model'!$D$6</f>
        <v>0</v>
      </c>
      <c r="K12" s="107" t="str">
        <f t="shared" ref="K12:L12" si="8">G12</f>
        <v/>
      </c>
      <c r="L12" s="110" t="str">
        <f t="shared" si="8"/>
        <v/>
      </c>
      <c r="M12" s="111">
        <f>M11/2</f>
        <v>80000</v>
      </c>
      <c r="N12" s="112">
        <f t="shared" si="4"/>
        <v>-1</v>
      </c>
      <c r="O12" s="113">
        <v>67000.0</v>
      </c>
      <c r="P12" s="112">
        <f t="shared" si="5"/>
        <v>-1</v>
      </c>
      <c r="Q12" s="114">
        <f t="shared" si="6"/>
        <v>0</v>
      </c>
      <c r="R12" s="115" t="str">
        <f>SUM($F12,$J12)/'Pricing Model'!$E$6</f>
        <v>#DIV/0!</v>
      </c>
      <c r="S12" s="116">
        <v>0.359</v>
      </c>
      <c r="T12" s="117"/>
      <c r="U12" s="118"/>
      <c r="V12" s="117"/>
      <c r="W12" s="119">
        <f t="shared" si="7"/>
        <v>0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72" t="s">
        <v>59</v>
      </c>
      <c r="D13" s="73"/>
      <c r="E13" s="100"/>
      <c r="F13" s="75"/>
      <c r="G13" s="76"/>
      <c r="H13" s="77"/>
      <c r="I13" s="101"/>
      <c r="J13" s="75"/>
      <c r="K13" s="76"/>
      <c r="L13" s="78"/>
      <c r="M13" s="79"/>
      <c r="N13" s="120"/>
      <c r="O13" s="81"/>
      <c r="P13" s="120"/>
      <c r="Q13" s="82"/>
      <c r="R13" s="83"/>
      <c r="S13" s="84"/>
      <c r="T13" s="85"/>
      <c r="U13" s="86"/>
      <c r="V13" s="85"/>
      <c r="W13" s="87"/>
      <c r="X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89" t="s">
        <v>60</v>
      </c>
      <c r="D14" s="90"/>
      <c r="E14" s="91"/>
      <c r="F14" s="92">
        <f>E14*'Pricing Model'!$C$6</f>
        <v>0</v>
      </c>
      <c r="G14" s="121"/>
      <c r="H14" s="93"/>
      <c r="I14" s="94"/>
      <c r="J14" s="92">
        <f>I14*'Pricing Model'!$D$6</f>
        <v>0</v>
      </c>
      <c r="K14" s="121" t="str">
        <f t="shared" ref="K14:L14" si="9">G14</f>
        <v/>
      </c>
      <c r="L14" s="95" t="str">
        <f t="shared" si="9"/>
        <v/>
      </c>
      <c r="M14" s="122">
        <v>40000.0</v>
      </c>
      <c r="N14" s="97">
        <f t="shared" ref="N14:N56" si="11">IFERROR($H14/M14-1, 0)</f>
        <v>-1</v>
      </c>
      <c r="O14" s="123">
        <v>32300.0</v>
      </c>
      <c r="P14" s="97">
        <f t="shared" ref="P14:P56" si="12">IFERROR($H14/O14-1, 0)</f>
        <v>-1</v>
      </c>
      <c r="Q14" s="82">
        <f t="shared" ref="Q14:Q56" si="13">SUM($F14,$J14)</f>
        <v>0</v>
      </c>
      <c r="R14" s="83" t="str">
        <f>SUM($F14,$J14)/'Pricing Model'!$E$6</f>
        <v>#DIV/0!</v>
      </c>
      <c r="S14" s="99">
        <v>0.0</v>
      </c>
      <c r="T14" s="85"/>
      <c r="U14" s="86"/>
      <c r="V14" s="85"/>
      <c r="W14" s="87">
        <f t="shared" ref="W14:W56" si="14">IFERROR((H14-G14)/H14, 0)</f>
        <v>0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89" t="s">
        <v>61</v>
      </c>
      <c r="D15" s="90"/>
      <c r="E15" s="91"/>
      <c r="F15" s="92">
        <f>E15*'Pricing Model'!$C$6</f>
        <v>0</v>
      </c>
      <c r="G15" s="121"/>
      <c r="H15" s="93"/>
      <c r="I15" s="94"/>
      <c r="J15" s="92">
        <f>I15*'Pricing Model'!$D$6</f>
        <v>0</v>
      </c>
      <c r="K15" s="121" t="str">
        <f t="shared" ref="K15:L15" si="10">G15</f>
        <v/>
      </c>
      <c r="L15" s="95" t="str">
        <f t="shared" si="10"/>
        <v/>
      </c>
      <c r="M15" s="122">
        <f>M14/2</f>
        <v>20000</v>
      </c>
      <c r="N15" s="97">
        <f t="shared" si="11"/>
        <v>-1</v>
      </c>
      <c r="O15" s="123">
        <v>16150.0</v>
      </c>
      <c r="P15" s="97">
        <f t="shared" si="12"/>
        <v>-1</v>
      </c>
      <c r="Q15" s="82">
        <f t="shared" si="13"/>
        <v>0</v>
      </c>
      <c r="R15" s="83" t="str">
        <f>SUM($F15,$J15)/'Pricing Model'!$E$6</f>
        <v>#DIV/0!</v>
      </c>
      <c r="S15" s="99">
        <v>0.0</v>
      </c>
      <c r="T15" s="85"/>
      <c r="U15" s="86"/>
      <c r="V15" s="85"/>
      <c r="W15" s="87">
        <f t="shared" si="14"/>
        <v>0</v>
      </c>
      <c r="X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89" t="s">
        <v>62</v>
      </c>
      <c r="D16" s="90"/>
      <c r="E16" s="91"/>
      <c r="F16" s="92">
        <f>E16*'Pricing Model'!$C$6</f>
        <v>0</v>
      </c>
      <c r="G16" s="121"/>
      <c r="H16" s="93"/>
      <c r="I16" s="94"/>
      <c r="J16" s="92">
        <f>I16*'Pricing Model'!$D$6</f>
        <v>0</v>
      </c>
      <c r="K16" s="121" t="str">
        <f t="shared" ref="K16:L16" si="15">G16</f>
        <v/>
      </c>
      <c r="L16" s="95" t="str">
        <f t="shared" si="15"/>
        <v/>
      </c>
      <c r="M16" s="122">
        <v>38000.0</v>
      </c>
      <c r="N16" s="97">
        <f t="shared" si="11"/>
        <v>-1</v>
      </c>
      <c r="O16" s="123">
        <v>40900.0</v>
      </c>
      <c r="P16" s="97">
        <f t="shared" si="12"/>
        <v>-1</v>
      </c>
      <c r="Q16" s="82">
        <f t="shared" si="13"/>
        <v>0</v>
      </c>
      <c r="R16" s="83" t="str">
        <f>SUM($F16,$J16)/'Pricing Model'!$E$6</f>
        <v>#DIV/0!</v>
      </c>
      <c r="S16" s="99">
        <v>0.0</v>
      </c>
      <c r="T16" s="85"/>
      <c r="U16" s="86"/>
      <c r="V16" s="85"/>
      <c r="W16" s="87">
        <f t="shared" si="14"/>
        <v>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124" t="s">
        <v>63</v>
      </c>
      <c r="D17" s="125"/>
      <c r="E17" s="126"/>
      <c r="F17" s="127">
        <f>E17*'Pricing Model'!$C$6</f>
        <v>0</v>
      </c>
      <c r="G17" s="128"/>
      <c r="H17" s="129"/>
      <c r="I17" s="130"/>
      <c r="J17" s="127">
        <f>I17*'Pricing Model'!$D$6</f>
        <v>0</v>
      </c>
      <c r="K17" s="128" t="str">
        <f t="shared" ref="K17:L17" si="16">G17</f>
        <v/>
      </c>
      <c r="L17" s="131" t="str">
        <f t="shared" si="16"/>
        <v/>
      </c>
      <c r="M17" s="132">
        <v>19000.0</v>
      </c>
      <c r="N17" s="133">
        <f t="shared" si="11"/>
        <v>-1</v>
      </c>
      <c r="O17" s="134">
        <v>20700.0</v>
      </c>
      <c r="P17" s="133">
        <f t="shared" si="12"/>
        <v>-1</v>
      </c>
      <c r="Q17" s="135">
        <f t="shared" si="13"/>
        <v>0</v>
      </c>
      <c r="R17" s="136" t="str">
        <f>SUM($F17,$J17)/'Pricing Model'!$E$6</f>
        <v>#DIV/0!</v>
      </c>
      <c r="S17" s="137">
        <v>0.0</v>
      </c>
      <c r="T17" s="138"/>
      <c r="U17" s="139"/>
      <c r="V17" s="138"/>
      <c r="W17" s="140">
        <f t="shared" si="14"/>
        <v>0</v>
      </c>
      <c r="X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89" t="s">
        <v>64</v>
      </c>
      <c r="D18" s="141"/>
      <c r="E18" s="142"/>
      <c r="F18" s="143">
        <f>E18*'Pricing Model'!$C$6</f>
        <v>0</v>
      </c>
      <c r="G18" s="144"/>
      <c r="H18" s="93"/>
      <c r="I18" s="145"/>
      <c r="J18" s="143">
        <f>I18*'Pricing Model'!$D$6</f>
        <v>0</v>
      </c>
      <c r="K18" s="144" t="str">
        <f t="shared" ref="K18:L18" si="17">G18</f>
        <v/>
      </c>
      <c r="L18" s="95" t="str">
        <f t="shared" si="17"/>
        <v/>
      </c>
      <c r="M18" s="122">
        <v>5000.0</v>
      </c>
      <c r="N18" s="97">
        <f t="shared" si="11"/>
        <v>-1</v>
      </c>
      <c r="O18" s="123">
        <v>3900.0</v>
      </c>
      <c r="P18" s="97">
        <f t="shared" si="12"/>
        <v>-1</v>
      </c>
      <c r="Q18" s="82">
        <f t="shared" si="13"/>
        <v>0</v>
      </c>
      <c r="R18" s="83" t="str">
        <f>SUM($F18,$J18)/'Pricing Model'!$E$6</f>
        <v>#DIV/0!</v>
      </c>
      <c r="S18" s="99">
        <v>0.16</v>
      </c>
      <c r="T18" s="85"/>
      <c r="U18" s="86"/>
      <c r="V18" s="85"/>
      <c r="W18" s="146">
        <f t="shared" si="14"/>
        <v>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89" t="s">
        <v>65</v>
      </c>
      <c r="D19" s="141"/>
      <c r="E19" s="142"/>
      <c r="F19" s="143">
        <f>E19*'Pricing Model'!$C$6</f>
        <v>0</v>
      </c>
      <c r="G19" s="144"/>
      <c r="H19" s="93"/>
      <c r="I19" s="145"/>
      <c r="J19" s="143">
        <f>I19*'Pricing Model'!$D$6</f>
        <v>0</v>
      </c>
      <c r="K19" s="144" t="str">
        <f t="shared" ref="K19:L19" si="18">G19</f>
        <v/>
      </c>
      <c r="L19" s="95" t="str">
        <f t="shared" si="18"/>
        <v/>
      </c>
      <c r="M19" s="122">
        <v>8500.0</v>
      </c>
      <c r="N19" s="97">
        <f t="shared" si="11"/>
        <v>-1</v>
      </c>
      <c r="O19" s="123">
        <v>7800.0</v>
      </c>
      <c r="P19" s="97">
        <f t="shared" si="12"/>
        <v>-1</v>
      </c>
      <c r="Q19" s="82">
        <f t="shared" si="13"/>
        <v>0</v>
      </c>
      <c r="R19" s="83" t="str">
        <f>SUM($F19,$J19)/'Pricing Model'!$E$6</f>
        <v>#DIV/0!</v>
      </c>
      <c r="S19" s="99">
        <v>0.029</v>
      </c>
      <c r="T19" s="85"/>
      <c r="U19" s="86"/>
      <c r="V19" s="85"/>
      <c r="W19" s="147">
        <f t="shared" si="14"/>
        <v>0</v>
      </c>
      <c r="X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89" t="s">
        <v>66</v>
      </c>
      <c r="D20" s="141"/>
      <c r="E20" s="142"/>
      <c r="F20" s="143">
        <f>E20*'Pricing Model'!$C$6</f>
        <v>0</v>
      </c>
      <c r="G20" s="144"/>
      <c r="H20" s="93"/>
      <c r="I20" s="145"/>
      <c r="J20" s="143">
        <f>I20*'Pricing Model'!$D$6</f>
        <v>0</v>
      </c>
      <c r="K20" s="144" t="str">
        <f t="shared" ref="K20:L20" si="19">G20</f>
        <v/>
      </c>
      <c r="L20" s="95" t="str">
        <f t="shared" si="19"/>
        <v/>
      </c>
      <c r="M20" s="122">
        <v>22500.0</v>
      </c>
      <c r="N20" s="97">
        <f t="shared" si="11"/>
        <v>-1</v>
      </c>
      <c r="O20" s="123">
        <v>19500.0</v>
      </c>
      <c r="P20" s="97">
        <f t="shared" si="12"/>
        <v>-1</v>
      </c>
      <c r="Q20" s="82">
        <f t="shared" si="13"/>
        <v>0</v>
      </c>
      <c r="R20" s="83" t="str">
        <f>SUM($F20,$J20)/'Pricing Model'!$E$6</f>
        <v>#DIV/0!</v>
      </c>
      <c r="S20" s="99">
        <v>0.03</v>
      </c>
      <c r="T20" s="85"/>
      <c r="U20" s="86"/>
      <c r="V20" s="85"/>
      <c r="W20" s="147">
        <f t="shared" si="14"/>
        <v>0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4"/>
      <c r="C21" s="148" t="s">
        <v>67</v>
      </c>
      <c r="D21" s="149"/>
      <c r="E21" s="150"/>
      <c r="F21" s="151">
        <f>E21*'Pricing Model'!$C$6</f>
        <v>0</v>
      </c>
      <c r="G21" s="152"/>
      <c r="H21" s="108"/>
      <c r="I21" s="153"/>
      <c r="J21" s="151">
        <f>I21*'Pricing Model'!$D$6</f>
        <v>0</v>
      </c>
      <c r="K21" s="152" t="str">
        <f t="shared" ref="K21:L21" si="20">G21</f>
        <v/>
      </c>
      <c r="L21" s="110" t="str">
        <f t="shared" si="20"/>
        <v/>
      </c>
      <c r="M21" s="111">
        <v>42000.0</v>
      </c>
      <c r="N21" s="112">
        <f t="shared" si="11"/>
        <v>-1</v>
      </c>
      <c r="O21" s="113">
        <v>39000.0</v>
      </c>
      <c r="P21" s="112">
        <f t="shared" si="12"/>
        <v>-1</v>
      </c>
      <c r="Q21" s="114">
        <f t="shared" si="13"/>
        <v>0</v>
      </c>
      <c r="R21" s="115" t="str">
        <f>SUM($F21,$J21)/'Pricing Model'!$E$6</f>
        <v>#DIV/0!</v>
      </c>
      <c r="S21" s="116">
        <v>0.002</v>
      </c>
      <c r="T21" s="117"/>
      <c r="U21" s="118"/>
      <c r="V21" s="117"/>
      <c r="W21" s="154">
        <f t="shared" si="14"/>
        <v>0</v>
      </c>
      <c r="X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4"/>
      <c r="C22" s="89" t="s">
        <v>68</v>
      </c>
      <c r="D22" s="141"/>
      <c r="E22" s="142"/>
      <c r="F22" s="143">
        <f>E22*'Pricing Model'!$C$6</f>
        <v>0</v>
      </c>
      <c r="G22" s="155"/>
      <c r="H22" s="93"/>
      <c r="I22" s="145"/>
      <c r="J22" s="143">
        <f>I22*'Pricing Model'!$D$6</f>
        <v>0</v>
      </c>
      <c r="K22" s="155" t="str">
        <f t="shared" ref="K22:L22" si="21">G22</f>
        <v/>
      </c>
      <c r="L22" s="95" t="str">
        <f t="shared" si="21"/>
        <v/>
      </c>
      <c r="M22" s="122">
        <v>5000.0</v>
      </c>
      <c r="N22" s="97">
        <f t="shared" si="11"/>
        <v>-1</v>
      </c>
      <c r="O22" s="123">
        <v>3900.0</v>
      </c>
      <c r="P22" s="97">
        <f t="shared" si="12"/>
        <v>-1</v>
      </c>
      <c r="Q22" s="82">
        <f t="shared" si="13"/>
        <v>0</v>
      </c>
      <c r="R22" s="83" t="str">
        <f>SUM($F22,$J22)/'Pricing Model'!$E$6</f>
        <v>#DIV/0!</v>
      </c>
      <c r="S22" s="99">
        <v>0.136</v>
      </c>
      <c r="T22" s="85"/>
      <c r="U22" s="86"/>
      <c r="V22" s="85"/>
      <c r="W22" s="147">
        <f t="shared" si="14"/>
        <v>0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4"/>
      <c r="C23" s="89" t="s">
        <v>69</v>
      </c>
      <c r="D23" s="141"/>
      <c r="E23" s="142"/>
      <c r="F23" s="143">
        <f>E23*'Pricing Model'!$C$6</f>
        <v>0</v>
      </c>
      <c r="G23" s="144"/>
      <c r="H23" s="93"/>
      <c r="I23" s="145"/>
      <c r="J23" s="143">
        <f>I23*'Pricing Model'!$D$6</f>
        <v>0</v>
      </c>
      <c r="K23" s="144" t="str">
        <f t="shared" ref="K23:L23" si="22">G23</f>
        <v/>
      </c>
      <c r="L23" s="95" t="str">
        <f t="shared" si="22"/>
        <v/>
      </c>
      <c r="M23" s="122">
        <v>8500.0</v>
      </c>
      <c r="N23" s="97">
        <f t="shared" si="11"/>
        <v>-1</v>
      </c>
      <c r="O23" s="123">
        <v>7800.0</v>
      </c>
      <c r="P23" s="97">
        <f t="shared" si="12"/>
        <v>-1</v>
      </c>
      <c r="Q23" s="82">
        <f t="shared" si="13"/>
        <v>0</v>
      </c>
      <c r="R23" s="83" t="str">
        <f>SUM($F23,$J23)/'Pricing Model'!$E$6</f>
        <v>#DIV/0!</v>
      </c>
      <c r="S23" s="99">
        <v>0.023</v>
      </c>
      <c r="T23" s="85"/>
      <c r="U23" s="86"/>
      <c r="V23" s="85"/>
      <c r="W23" s="147">
        <f t="shared" si="14"/>
        <v>0</v>
      </c>
      <c r="X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4"/>
      <c r="C24" s="89" t="s">
        <v>70</v>
      </c>
      <c r="D24" s="141"/>
      <c r="E24" s="142"/>
      <c r="F24" s="143">
        <f>E24*'Pricing Model'!$C$6</f>
        <v>0</v>
      </c>
      <c r="G24" s="144"/>
      <c r="H24" s="93"/>
      <c r="I24" s="145"/>
      <c r="J24" s="143">
        <f>I24*'Pricing Model'!$D$6</f>
        <v>0</v>
      </c>
      <c r="K24" s="144" t="str">
        <f t="shared" ref="K24:L24" si="23">G24</f>
        <v/>
      </c>
      <c r="L24" s="95" t="str">
        <f t="shared" si="23"/>
        <v/>
      </c>
      <c r="M24" s="122">
        <v>22500.0</v>
      </c>
      <c r="N24" s="97">
        <f t="shared" si="11"/>
        <v>-1</v>
      </c>
      <c r="O24" s="123">
        <v>19500.0</v>
      </c>
      <c r="P24" s="97">
        <f t="shared" si="12"/>
        <v>-1</v>
      </c>
      <c r="Q24" s="82">
        <f t="shared" si="13"/>
        <v>0</v>
      </c>
      <c r="R24" s="83" t="str">
        <f>SUM($F24,$J24)/'Pricing Model'!$E$6</f>
        <v>#DIV/0!</v>
      </c>
      <c r="S24" s="99">
        <v>0.026</v>
      </c>
      <c r="T24" s="85"/>
      <c r="U24" s="86"/>
      <c r="V24" s="85"/>
      <c r="W24" s="147">
        <f t="shared" si="14"/>
        <v>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4"/>
      <c r="C25" s="89" t="s">
        <v>71</v>
      </c>
      <c r="D25" s="141"/>
      <c r="E25" s="142"/>
      <c r="F25" s="143">
        <f>E25*'Pricing Model'!$C$6</f>
        <v>0</v>
      </c>
      <c r="G25" s="144"/>
      <c r="H25" s="93"/>
      <c r="I25" s="145"/>
      <c r="J25" s="143">
        <f>I25*'Pricing Model'!$D$6</f>
        <v>0</v>
      </c>
      <c r="K25" s="144" t="str">
        <f t="shared" ref="K25:L25" si="24">G25</f>
        <v/>
      </c>
      <c r="L25" s="95" t="str">
        <f t="shared" si="24"/>
        <v/>
      </c>
      <c r="M25" s="122">
        <v>42000.0</v>
      </c>
      <c r="N25" s="97">
        <f t="shared" si="11"/>
        <v>-1</v>
      </c>
      <c r="O25" s="123">
        <v>39000.0</v>
      </c>
      <c r="P25" s="97">
        <f t="shared" si="12"/>
        <v>-1</v>
      </c>
      <c r="Q25" s="82">
        <f t="shared" si="13"/>
        <v>0</v>
      </c>
      <c r="R25" s="83" t="str">
        <f>SUM($F25,$J25)/'Pricing Model'!$E$6</f>
        <v>#DIV/0!</v>
      </c>
      <c r="S25" s="99">
        <v>0.0</v>
      </c>
      <c r="T25" s="85"/>
      <c r="U25" s="86"/>
      <c r="V25" s="85"/>
      <c r="W25" s="147">
        <f t="shared" si="14"/>
        <v>0</v>
      </c>
      <c r="X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4"/>
      <c r="C26" s="124" t="s">
        <v>72</v>
      </c>
      <c r="D26" s="125"/>
      <c r="E26" s="126"/>
      <c r="F26" s="127">
        <f>E26*'Pricing Model'!$C$6</f>
        <v>0</v>
      </c>
      <c r="G26" s="128"/>
      <c r="H26" s="129"/>
      <c r="I26" s="130"/>
      <c r="J26" s="127">
        <f>I26*'Pricing Model'!$D$6</f>
        <v>0</v>
      </c>
      <c r="K26" s="128" t="str">
        <f t="shared" ref="K26:L26" si="25">G26</f>
        <v/>
      </c>
      <c r="L26" s="131" t="str">
        <f t="shared" si="25"/>
        <v/>
      </c>
      <c r="M26" s="132">
        <v>84000.0</v>
      </c>
      <c r="N26" s="133">
        <f t="shared" si="11"/>
        <v>-1</v>
      </c>
      <c r="O26" s="134">
        <v>78000.0</v>
      </c>
      <c r="P26" s="133">
        <f t="shared" si="12"/>
        <v>-1</v>
      </c>
      <c r="Q26" s="135">
        <f t="shared" si="13"/>
        <v>0</v>
      </c>
      <c r="R26" s="136" t="str">
        <f>SUM($F26,$J26)/'Pricing Model'!$E$6</f>
        <v>#DIV/0!</v>
      </c>
      <c r="S26" s="137">
        <v>0.0</v>
      </c>
      <c r="T26" s="138"/>
      <c r="U26" s="139"/>
      <c r="V26" s="138"/>
      <c r="W26" s="140">
        <f t="shared" si="14"/>
        <v>0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4"/>
      <c r="C27" s="89" t="s">
        <v>73</v>
      </c>
      <c r="D27" s="141"/>
      <c r="E27" s="142"/>
      <c r="F27" s="143">
        <f>E27*'Pricing Model'!$C$6</f>
        <v>0</v>
      </c>
      <c r="G27" s="144"/>
      <c r="H27" s="93"/>
      <c r="I27" s="145"/>
      <c r="J27" s="143">
        <f>I27*'Pricing Model'!$D$6</f>
        <v>0</v>
      </c>
      <c r="K27" s="144" t="str">
        <f t="shared" ref="K27:L27" si="26">G27</f>
        <v/>
      </c>
      <c r="L27" s="95" t="str">
        <f t="shared" si="26"/>
        <v/>
      </c>
      <c r="M27" s="122">
        <v>3800.0</v>
      </c>
      <c r="N27" s="97">
        <f t="shared" si="11"/>
        <v>-1</v>
      </c>
      <c r="O27" s="123">
        <v>4300.0</v>
      </c>
      <c r="P27" s="97">
        <f t="shared" si="12"/>
        <v>-1</v>
      </c>
      <c r="Q27" s="82">
        <f t="shared" si="13"/>
        <v>0</v>
      </c>
      <c r="R27" s="83" t="str">
        <f>SUM($F27,$J27)/'Pricing Model'!$E$6</f>
        <v>#DIV/0!</v>
      </c>
      <c r="S27" s="99">
        <v>0.161</v>
      </c>
      <c r="T27" s="85"/>
      <c r="U27" s="86"/>
      <c r="V27" s="85"/>
      <c r="W27" s="147">
        <f t="shared" si="14"/>
        <v>0</v>
      </c>
      <c r="X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4"/>
      <c r="C28" s="89" t="s">
        <v>74</v>
      </c>
      <c r="D28" s="141"/>
      <c r="E28" s="142"/>
      <c r="F28" s="143">
        <f>E28*'Pricing Model'!$C$6</f>
        <v>0</v>
      </c>
      <c r="G28" s="144"/>
      <c r="H28" s="93"/>
      <c r="I28" s="145"/>
      <c r="J28" s="143">
        <f>I28*'Pricing Model'!$D$6</f>
        <v>0</v>
      </c>
      <c r="K28" s="144" t="str">
        <f t="shared" ref="K28:L28" si="27">G28</f>
        <v/>
      </c>
      <c r="L28" s="95" t="str">
        <f t="shared" si="27"/>
        <v/>
      </c>
      <c r="M28" s="122">
        <v>7400.0</v>
      </c>
      <c r="N28" s="97">
        <f t="shared" si="11"/>
        <v>-1</v>
      </c>
      <c r="O28" s="123">
        <v>8600.0</v>
      </c>
      <c r="P28" s="97">
        <f t="shared" si="12"/>
        <v>-1</v>
      </c>
      <c r="Q28" s="82">
        <f t="shared" si="13"/>
        <v>0</v>
      </c>
      <c r="R28" s="83" t="str">
        <f>SUM($F28,$J28)/'Pricing Model'!$E$6</f>
        <v>#DIV/0!</v>
      </c>
      <c r="S28" s="99">
        <v>0.024</v>
      </c>
      <c r="T28" s="85"/>
      <c r="U28" s="86"/>
      <c r="V28" s="86"/>
      <c r="W28" s="147">
        <f t="shared" si="14"/>
        <v>0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4"/>
      <c r="C29" s="89" t="s">
        <v>75</v>
      </c>
      <c r="D29" s="141"/>
      <c r="E29" s="142"/>
      <c r="F29" s="143">
        <f>E29*'Pricing Model'!$C$6</f>
        <v>0</v>
      </c>
      <c r="G29" s="144"/>
      <c r="H29" s="93"/>
      <c r="I29" s="145"/>
      <c r="J29" s="143">
        <f>I29*'Pricing Model'!$D$6</f>
        <v>0</v>
      </c>
      <c r="K29" s="144" t="str">
        <f t="shared" ref="K29:L29" si="28">G29</f>
        <v/>
      </c>
      <c r="L29" s="95" t="str">
        <f t="shared" si="28"/>
        <v/>
      </c>
      <c r="M29" s="122">
        <v>18500.0</v>
      </c>
      <c r="N29" s="97">
        <f t="shared" si="11"/>
        <v>-1</v>
      </c>
      <c r="O29" s="123">
        <v>21500.0</v>
      </c>
      <c r="P29" s="97">
        <f t="shared" si="12"/>
        <v>-1</v>
      </c>
      <c r="Q29" s="82">
        <f t="shared" si="13"/>
        <v>0</v>
      </c>
      <c r="R29" s="83" t="str">
        <f>SUM($F29,$J29)/'Pricing Model'!$E$6</f>
        <v>#DIV/0!</v>
      </c>
      <c r="S29" s="99">
        <v>0.077</v>
      </c>
      <c r="T29" s="85"/>
      <c r="U29" s="86"/>
      <c r="V29" s="86"/>
      <c r="W29" s="147">
        <f t="shared" si="14"/>
        <v>0</v>
      </c>
      <c r="X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4"/>
      <c r="C30" s="89" t="s">
        <v>76</v>
      </c>
      <c r="D30" s="141"/>
      <c r="E30" s="142"/>
      <c r="F30" s="143">
        <f>E30*'Pricing Model'!$C$6</f>
        <v>0</v>
      </c>
      <c r="G30" s="144"/>
      <c r="H30" s="93"/>
      <c r="I30" s="145"/>
      <c r="J30" s="143">
        <f>I30*'Pricing Model'!$D$6</f>
        <v>0</v>
      </c>
      <c r="K30" s="144" t="str">
        <f t="shared" ref="K30:L30" si="29">G30</f>
        <v/>
      </c>
      <c r="L30" s="95" t="str">
        <f t="shared" si="29"/>
        <v/>
      </c>
      <c r="M30" s="122">
        <v>38000.0</v>
      </c>
      <c r="N30" s="97">
        <f t="shared" si="11"/>
        <v>-1</v>
      </c>
      <c r="O30" s="123">
        <v>43000.0</v>
      </c>
      <c r="P30" s="97">
        <f t="shared" si="12"/>
        <v>-1</v>
      </c>
      <c r="Q30" s="82">
        <f t="shared" si="13"/>
        <v>0</v>
      </c>
      <c r="R30" s="83" t="str">
        <f>SUM($F30,$J30)/'Pricing Model'!$E$6</f>
        <v>#DIV/0!</v>
      </c>
      <c r="S30" s="99">
        <v>0.002</v>
      </c>
      <c r="T30" s="85"/>
      <c r="U30" s="86"/>
      <c r="V30" s="86"/>
      <c r="W30" s="147">
        <f t="shared" si="14"/>
        <v>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4"/>
      <c r="C31" s="148" t="s">
        <v>77</v>
      </c>
      <c r="D31" s="149"/>
      <c r="E31" s="150"/>
      <c r="F31" s="151">
        <f>E31*'Pricing Model'!$C$6</f>
        <v>0</v>
      </c>
      <c r="G31" s="152"/>
      <c r="H31" s="108"/>
      <c r="I31" s="153"/>
      <c r="J31" s="151">
        <f>I31*'Pricing Model'!$D$6</f>
        <v>0</v>
      </c>
      <c r="K31" s="152" t="str">
        <f t="shared" ref="K31:L31" si="30">G31</f>
        <v/>
      </c>
      <c r="L31" s="110" t="str">
        <f t="shared" si="30"/>
        <v/>
      </c>
      <c r="M31" s="111">
        <v>76000.0</v>
      </c>
      <c r="N31" s="112">
        <f t="shared" si="11"/>
        <v>-1</v>
      </c>
      <c r="O31" s="113">
        <v>86000.0</v>
      </c>
      <c r="P31" s="112">
        <f t="shared" si="12"/>
        <v>-1</v>
      </c>
      <c r="Q31" s="114">
        <f t="shared" si="13"/>
        <v>0</v>
      </c>
      <c r="R31" s="115" t="str">
        <f>SUM($F31,$J31)/'Pricing Model'!$E$6</f>
        <v>#DIV/0!</v>
      </c>
      <c r="S31" s="116">
        <v>0.0</v>
      </c>
      <c r="T31" s="117"/>
      <c r="U31" s="118"/>
      <c r="V31" s="117"/>
      <c r="W31" s="154">
        <f t="shared" si="14"/>
        <v>0</v>
      </c>
      <c r="X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4"/>
      <c r="C32" s="89" t="s">
        <v>78</v>
      </c>
      <c r="D32" s="141"/>
      <c r="E32" s="142"/>
      <c r="F32" s="143">
        <f>E32*'Pricing Model'!$C$6</f>
        <v>0</v>
      </c>
      <c r="G32" s="155"/>
      <c r="H32" s="93"/>
      <c r="I32" s="145"/>
      <c r="J32" s="143">
        <f>I32*'Pricing Model'!$D$6</f>
        <v>0</v>
      </c>
      <c r="K32" s="155" t="str">
        <f t="shared" ref="K32:L32" si="31">G32</f>
        <v/>
      </c>
      <c r="L32" s="95" t="str">
        <f t="shared" si="31"/>
        <v/>
      </c>
      <c r="M32" s="122">
        <v>3800.0</v>
      </c>
      <c r="N32" s="97">
        <f t="shared" si="11"/>
        <v>-1</v>
      </c>
      <c r="O32" s="123">
        <v>4300.0</v>
      </c>
      <c r="P32" s="97">
        <f t="shared" si="12"/>
        <v>-1</v>
      </c>
      <c r="Q32" s="82">
        <f t="shared" si="13"/>
        <v>0</v>
      </c>
      <c r="R32" s="83" t="str">
        <f>SUM($F32,$J32)/'Pricing Model'!$E$6</f>
        <v>#DIV/0!</v>
      </c>
      <c r="S32" s="99">
        <v>0.011</v>
      </c>
      <c r="T32" s="85"/>
      <c r="U32" s="86"/>
      <c r="V32" s="85"/>
      <c r="W32" s="147">
        <f t="shared" si="14"/>
        <v>0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4"/>
      <c r="C33" s="89" t="s">
        <v>79</v>
      </c>
      <c r="D33" s="141"/>
      <c r="E33" s="142"/>
      <c r="F33" s="143">
        <f>E33*'Pricing Model'!$C$6</f>
        <v>0</v>
      </c>
      <c r="G33" s="144"/>
      <c r="H33" s="93"/>
      <c r="I33" s="145"/>
      <c r="J33" s="143">
        <f>I33*'Pricing Model'!$D$6</f>
        <v>0</v>
      </c>
      <c r="K33" s="144" t="str">
        <f t="shared" ref="K33:L33" si="32">G33</f>
        <v/>
      </c>
      <c r="L33" s="95" t="str">
        <f t="shared" si="32"/>
        <v/>
      </c>
      <c r="M33" s="122">
        <v>7400.0</v>
      </c>
      <c r="N33" s="97">
        <f t="shared" si="11"/>
        <v>-1</v>
      </c>
      <c r="O33" s="123">
        <v>8600.0</v>
      </c>
      <c r="P33" s="97">
        <f t="shared" si="12"/>
        <v>-1</v>
      </c>
      <c r="Q33" s="82">
        <f t="shared" si="13"/>
        <v>0</v>
      </c>
      <c r="R33" s="83" t="str">
        <f>SUM($F33,$J33)/'Pricing Model'!$E$6</f>
        <v>#DIV/0!</v>
      </c>
      <c r="S33" s="99">
        <v>0.002</v>
      </c>
      <c r="T33" s="85"/>
      <c r="U33" s="86"/>
      <c r="V33" s="86"/>
      <c r="W33" s="147">
        <f t="shared" si="14"/>
        <v>0</v>
      </c>
      <c r="X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4"/>
      <c r="C34" s="89" t="s">
        <v>80</v>
      </c>
      <c r="D34" s="141"/>
      <c r="E34" s="142"/>
      <c r="F34" s="143">
        <f>E34*'Pricing Model'!$C$6</f>
        <v>0</v>
      </c>
      <c r="G34" s="144"/>
      <c r="H34" s="93"/>
      <c r="I34" s="145"/>
      <c r="J34" s="143">
        <f>I34*'Pricing Model'!$D$6</f>
        <v>0</v>
      </c>
      <c r="K34" s="144" t="str">
        <f t="shared" ref="K34:L34" si="33">G34</f>
        <v/>
      </c>
      <c r="L34" s="95" t="str">
        <f t="shared" si="33"/>
        <v/>
      </c>
      <c r="M34" s="122">
        <v>18500.0</v>
      </c>
      <c r="N34" s="97">
        <f t="shared" si="11"/>
        <v>-1</v>
      </c>
      <c r="O34" s="123">
        <v>21500.0</v>
      </c>
      <c r="P34" s="97">
        <f t="shared" si="12"/>
        <v>-1</v>
      </c>
      <c r="Q34" s="82">
        <f t="shared" si="13"/>
        <v>0</v>
      </c>
      <c r="R34" s="83" t="str">
        <f>SUM($F34,$J34)/'Pricing Model'!$E$6</f>
        <v>#DIV/0!</v>
      </c>
      <c r="S34" s="99">
        <v>0.012</v>
      </c>
      <c r="T34" s="85"/>
      <c r="U34" s="86"/>
      <c r="V34" s="86"/>
      <c r="W34" s="147">
        <f t="shared" si="14"/>
        <v>0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4"/>
      <c r="C35" s="89" t="s">
        <v>81</v>
      </c>
      <c r="D35" s="141"/>
      <c r="E35" s="142"/>
      <c r="F35" s="143">
        <f>E35*'Pricing Model'!$C$6</f>
        <v>0</v>
      </c>
      <c r="G35" s="144"/>
      <c r="H35" s="93"/>
      <c r="I35" s="145"/>
      <c r="J35" s="143">
        <f>I35*'Pricing Model'!$D$6</f>
        <v>0</v>
      </c>
      <c r="K35" s="144" t="str">
        <f t="shared" ref="K35:L35" si="34">G35</f>
        <v/>
      </c>
      <c r="L35" s="95" t="str">
        <f t="shared" si="34"/>
        <v/>
      </c>
      <c r="M35" s="122">
        <v>38000.0</v>
      </c>
      <c r="N35" s="97">
        <f t="shared" si="11"/>
        <v>-1</v>
      </c>
      <c r="O35" s="123">
        <v>43000.0</v>
      </c>
      <c r="P35" s="97">
        <f t="shared" si="12"/>
        <v>-1</v>
      </c>
      <c r="Q35" s="82">
        <f t="shared" si="13"/>
        <v>0</v>
      </c>
      <c r="R35" s="83" t="str">
        <f>SUM($F35,$J35)/'Pricing Model'!$E$6</f>
        <v>#DIV/0!</v>
      </c>
      <c r="S35" s="99">
        <v>0.0</v>
      </c>
      <c r="T35" s="85"/>
      <c r="U35" s="86"/>
      <c r="V35" s="86"/>
      <c r="W35" s="147">
        <f t="shared" si="14"/>
        <v>0</v>
      </c>
      <c r="X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4"/>
      <c r="C36" s="124" t="s">
        <v>82</v>
      </c>
      <c r="D36" s="125"/>
      <c r="E36" s="126"/>
      <c r="F36" s="127">
        <f>E36*'Pricing Model'!$C$6</f>
        <v>0</v>
      </c>
      <c r="G36" s="128"/>
      <c r="H36" s="129"/>
      <c r="I36" s="130"/>
      <c r="J36" s="127">
        <f>I36*'Pricing Model'!$D$6</f>
        <v>0</v>
      </c>
      <c r="K36" s="128" t="str">
        <f t="shared" ref="K36:L36" si="35">G36</f>
        <v/>
      </c>
      <c r="L36" s="131" t="str">
        <f t="shared" si="35"/>
        <v/>
      </c>
      <c r="M36" s="132">
        <v>76000.0</v>
      </c>
      <c r="N36" s="133">
        <f t="shared" si="11"/>
        <v>-1</v>
      </c>
      <c r="O36" s="134">
        <v>86000.0</v>
      </c>
      <c r="P36" s="133">
        <f t="shared" si="12"/>
        <v>-1</v>
      </c>
      <c r="Q36" s="135">
        <f t="shared" si="13"/>
        <v>0</v>
      </c>
      <c r="R36" s="136" t="str">
        <f>SUM($F36,$J36)/'Pricing Model'!$E$6</f>
        <v>#DIV/0!</v>
      </c>
      <c r="S36" s="137">
        <v>0.0</v>
      </c>
      <c r="T36" s="138"/>
      <c r="U36" s="139"/>
      <c r="V36" s="138"/>
      <c r="W36" s="140">
        <f t="shared" si="14"/>
        <v>0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4"/>
      <c r="C37" s="89" t="s">
        <v>83</v>
      </c>
      <c r="D37" s="141"/>
      <c r="E37" s="142"/>
      <c r="F37" s="143">
        <f>E37*'Pricing Model'!$C$6</f>
        <v>0</v>
      </c>
      <c r="G37" s="144"/>
      <c r="H37" s="93"/>
      <c r="I37" s="145"/>
      <c r="J37" s="143">
        <f>I37*'Pricing Model'!$D$6</f>
        <v>0</v>
      </c>
      <c r="K37" s="144" t="str">
        <f t="shared" ref="K37:L37" si="36">G37</f>
        <v/>
      </c>
      <c r="L37" s="95" t="str">
        <f t="shared" si="36"/>
        <v/>
      </c>
      <c r="M37" s="122">
        <v>3000.0</v>
      </c>
      <c r="N37" s="97">
        <f t="shared" si="11"/>
        <v>-1</v>
      </c>
      <c r="O37" s="123">
        <v>3300.0</v>
      </c>
      <c r="P37" s="97">
        <f t="shared" si="12"/>
        <v>-1</v>
      </c>
      <c r="Q37" s="82">
        <f t="shared" si="13"/>
        <v>0</v>
      </c>
      <c r="R37" s="83" t="str">
        <f>SUM($F37,$J37)/'Pricing Model'!$E$6</f>
        <v>#DIV/0!</v>
      </c>
      <c r="S37" s="99">
        <v>0.07</v>
      </c>
      <c r="T37" s="85"/>
      <c r="U37" s="86"/>
      <c r="V37" s="85"/>
      <c r="W37" s="147">
        <f t="shared" si="14"/>
        <v>0</v>
      </c>
      <c r="X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4"/>
      <c r="C38" s="89" t="s">
        <v>84</v>
      </c>
      <c r="D38" s="141"/>
      <c r="E38" s="142"/>
      <c r="F38" s="143">
        <f>E38*'Pricing Model'!$C$6</f>
        <v>0</v>
      </c>
      <c r="G38" s="144"/>
      <c r="H38" s="93"/>
      <c r="I38" s="145"/>
      <c r="J38" s="143">
        <f>I38*'Pricing Model'!$D$6</f>
        <v>0</v>
      </c>
      <c r="K38" s="144" t="str">
        <f t="shared" ref="K38:L38" si="37">G38</f>
        <v/>
      </c>
      <c r="L38" s="95" t="str">
        <f t="shared" si="37"/>
        <v/>
      </c>
      <c r="M38" s="122">
        <v>6000.0</v>
      </c>
      <c r="N38" s="97">
        <f t="shared" si="11"/>
        <v>-1</v>
      </c>
      <c r="O38" s="123">
        <v>6600.0</v>
      </c>
      <c r="P38" s="97">
        <f t="shared" si="12"/>
        <v>-1</v>
      </c>
      <c r="Q38" s="82">
        <f t="shared" si="13"/>
        <v>0</v>
      </c>
      <c r="R38" s="83" t="str">
        <f>SUM($F38,$J38)/'Pricing Model'!$E$6</f>
        <v>#DIV/0!</v>
      </c>
      <c r="S38" s="99">
        <v>0.01</v>
      </c>
      <c r="T38" s="85"/>
      <c r="U38" s="86"/>
      <c r="V38" s="85"/>
      <c r="W38" s="147">
        <f t="shared" si="14"/>
        <v>0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4"/>
      <c r="C39" s="89" t="s">
        <v>85</v>
      </c>
      <c r="D39" s="141"/>
      <c r="E39" s="142"/>
      <c r="F39" s="143">
        <f>E39*'Pricing Model'!$C$6</f>
        <v>0</v>
      </c>
      <c r="G39" s="144"/>
      <c r="H39" s="93"/>
      <c r="I39" s="145"/>
      <c r="J39" s="143">
        <f>I39*'Pricing Model'!$D$6</f>
        <v>0</v>
      </c>
      <c r="K39" s="144" t="str">
        <f t="shared" ref="K39:L39" si="38">G39</f>
        <v/>
      </c>
      <c r="L39" s="95" t="str">
        <f t="shared" si="38"/>
        <v/>
      </c>
      <c r="M39" s="122">
        <v>15000.0</v>
      </c>
      <c r="N39" s="97">
        <f t="shared" si="11"/>
        <v>-1</v>
      </c>
      <c r="O39" s="123">
        <v>16500.0</v>
      </c>
      <c r="P39" s="97">
        <f t="shared" si="12"/>
        <v>-1</v>
      </c>
      <c r="Q39" s="82">
        <f t="shared" si="13"/>
        <v>0</v>
      </c>
      <c r="R39" s="83" t="str">
        <f>SUM($F39,$J39)/'Pricing Model'!$E$6</f>
        <v>#DIV/0!</v>
      </c>
      <c r="S39" s="99">
        <v>0.037</v>
      </c>
      <c r="T39" s="85"/>
      <c r="U39" s="86"/>
      <c r="V39" s="85"/>
      <c r="W39" s="147">
        <f t="shared" si="14"/>
        <v>0</v>
      </c>
      <c r="X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4"/>
      <c r="C40" s="89" t="s">
        <v>86</v>
      </c>
      <c r="D40" s="141"/>
      <c r="E40" s="142"/>
      <c r="F40" s="143">
        <f>E40*'Pricing Model'!$C$6</f>
        <v>0</v>
      </c>
      <c r="G40" s="144"/>
      <c r="H40" s="93"/>
      <c r="I40" s="145"/>
      <c r="J40" s="143">
        <f>I40*'Pricing Model'!$D$6</f>
        <v>0</v>
      </c>
      <c r="K40" s="144" t="str">
        <f t="shared" ref="K40:L40" si="39">G40</f>
        <v/>
      </c>
      <c r="L40" s="95" t="str">
        <f t="shared" si="39"/>
        <v/>
      </c>
      <c r="M40" s="122">
        <v>30000.0</v>
      </c>
      <c r="N40" s="97">
        <f t="shared" si="11"/>
        <v>-1</v>
      </c>
      <c r="O40" s="123">
        <v>33000.0</v>
      </c>
      <c r="P40" s="97">
        <f t="shared" si="12"/>
        <v>-1</v>
      </c>
      <c r="Q40" s="82">
        <f t="shared" si="13"/>
        <v>0</v>
      </c>
      <c r="R40" s="83" t="str">
        <f>SUM($F40,$J40)/'Pricing Model'!$E$6</f>
        <v>#DIV/0!</v>
      </c>
      <c r="S40" s="99">
        <v>0.001</v>
      </c>
      <c r="T40" s="85"/>
      <c r="U40" s="86"/>
      <c r="V40" s="85"/>
      <c r="W40" s="147">
        <f t="shared" si="14"/>
        <v>0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4"/>
      <c r="C41" s="148" t="s">
        <v>87</v>
      </c>
      <c r="D41" s="149"/>
      <c r="E41" s="150"/>
      <c r="F41" s="151">
        <f>E41*'Pricing Model'!$C$6</f>
        <v>0</v>
      </c>
      <c r="G41" s="152"/>
      <c r="H41" s="108"/>
      <c r="I41" s="153"/>
      <c r="J41" s="151">
        <f>I41*'Pricing Model'!$D$6</f>
        <v>0</v>
      </c>
      <c r="K41" s="152" t="str">
        <f t="shared" ref="K41:L41" si="40">G41</f>
        <v/>
      </c>
      <c r="L41" s="110" t="str">
        <f t="shared" si="40"/>
        <v/>
      </c>
      <c r="M41" s="111">
        <v>60000.0</v>
      </c>
      <c r="N41" s="112">
        <f t="shared" si="11"/>
        <v>-1</v>
      </c>
      <c r="O41" s="113">
        <v>66000.0</v>
      </c>
      <c r="P41" s="112">
        <f t="shared" si="12"/>
        <v>-1</v>
      </c>
      <c r="Q41" s="114">
        <f t="shared" si="13"/>
        <v>0</v>
      </c>
      <c r="R41" s="115" t="str">
        <f>SUM($F41,$J41)/'Pricing Model'!$E$6</f>
        <v>#DIV/0!</v>
      </c>
      <c r="S41" s="116">
        <v>0.0</v>
      </c>
      <c r="T41" s="117"/>
      <c r="U41" s="118"/>
      <c r="V41" s="117"/>
      <c r="W41" s="154">
        <f t="shared" si="14"/>
        <v>0</v>
      </c>
      <c r="X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4"/>
      <c r="C42" s="89" t="s">
        <v>88</v>
      </c>
      <c r="D42" s="141"/>
      <c r="E42" s="142"/>
      <c r="F42" s="143">
        <f>E42*'Pricing Model'!$C$6</f>
        <v>0</v>
      </c>
      <c r="G42" s="144"/>
      <c r="H42" s="93"/>
      <c r="I42" s="145"/>
      <c r="J42" s="143">
        <f>I42*'Pricing Model'!$D$6</f>
        <v>0</v>
      </c>
      <c r="K42" s="144" t="str">
        <f t="shared" ref="K42:L42" si="41">G42</f>
        <v/>
      </c>
      <c r="L42" s="95" t="str">
        <f t="shared" si="41"/>
        <v/>
      </c>
      <c r="M42" s="122">
        <v>3000.0</v>
      </c>
      <c r="N42" s="97">
        <f t="shared" si="11"/>
        <v>-1</v>
      </c>
      <c r="O42" s="123">
        <v>3300.0</v>
      </c>
      <c r="P42" s="97">
        <f t="shared" si="12"/>
        <v>-1</v>
      </c>
      <c r="Q42" s="82">
        <f t="shared" si="13"/>
        <v>0</v>
      </c>
      <c r="R42" s="83" t="str">
        <f>SUM($F42,$J42)/'Pricing Model'!$E$6</f>
        <v>#DIV/0!</v>
      </c>
      <c r="S42" s="99">
        <v>0.015</v>
      </c>
      <c r="T42" s="85"/>
      <c r="U42" s="86"/>
      <c r="V42" s="86"/>
      <c r="W42" s="147">
        <f t="shared" si="14"/>
        <v>0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4"/>
      <c r="C43" s="89" t="s">
        <v>89</v>
      </c>
      <c r="D43" s="141"/>
      <c r="E43" s="142"/>
      <c r="F43" s="143">
        <f>E43*'Pricing Model'!$C$6</f>
        <v>0</v>
      </c>
      <c r="G43" s="144"/>
      <c r="H43" s="93"/>
      <c r="I43" s="145"/>
      <c r="J43" s="143">
        <f>I43*'Pricing Model'!$D$6</f>
        <v>0</v>
      </c>
      <c r="K43" s="144" t="str">
        <f t="shared" ref="K43:L43" si="42">G43</f>
        <v/>
      </c>
      <c r="L43" s="95" t="str">
        <f t="shared" si="42"/>
        <v/>
      </c>
      <c r="M43" s="122">
        <v>6000.0</v>
      </c>
      <c r="N43" s="97">
        <f t="shared" si="11"/>
        <v>-1</v>
      </c>
      <c r="O43" s="123">
        <v>6600.0</v>
      </c>
      <c r="P43" s="97">
        <f t="shared" si="12"/>
        <v>-1</v>
      </c>
      <c r="Q43" s="82">
        <f t="shared" si="13"/>
        <v>0</v>
      </c>
      <c r="R43" s="83" t="str">
        <f>SUM($F43,$J43)/'Pricing Model'!$E$6</f>
        <v>#DIV/0!</v>
      </c>
      <c r="S43" s="99">
        <v>0.003</v>
      </c>
      <c r="T43" s="85"/>
      <c r="U43" s="86"/>
      <c r="V43" s="85"/>
      <c r="W43" s="147">
        <f t="shared" si="14"/>
        <v>0</v>
      </c>
      <c r="X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4"/>
      <c r="C44" s="89" t="s">
        <v>90</v>
      </c>
      <c r="D44" s="141"/>
      <c r="E44" s="142"/>
      <c r="F44" s="143">
        <f>E44*'Pricing Model'!$C$6</f>
        <v>0</v>
      </c>
      <c r="G44" s="144"/>
      <c r="H44" s="93"/>
      <c r="I44" s="145"/>
      <c r="J44" s="143">
        <f>I44*'Pricing Model'!$D$6</f>
        <v>0</v>
      </c>
      <c r="K44" s="144" t="str">
        <f t="shared" ref="K44:L44" si="43">G44</f>
        <v/>
      </c>
      <c r="L44" s="95" t="str">
        <f t="shared" si="43"/>
        <v/>
      </c>
      <c r="M44" s="122">
        <v>15000.0</v>
      </c>
      <c r="N44" s="97">
        <f t="shared" si="11"/>
        <v>-1</v>
      </c>
      <c r="O44" s="123">
        <v>16500.0</v>
      </c>
      <c r="P44" s="97">
        <f t="shared" si="12"/>
        <v>-1</v>
      </c>
      <c r="Q44" s="82">
        <f t="shared" si="13"/>
        <v>0</v>
      </c>
      <c r="R44" s="83" t="str">
        <f>SUM($F44,$J44)/'Pricing Model'!$E$6</f>
        <v>#DIV/0!</v>
      </c>
      <c r="S44" s="99">
        <v>0.062</v>
      </c>
      <c r="T44" s="85"/>
      <c r="U44" s="86"/>
      <c r="V44" s="85"/>
      <c r="W44" s="147">
        <f t="shared" si="14"/>
        <v>0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4"/>
      <c r="C45" s="89" t="s">
        <v>91</v>
      </c>
      <c r="D45" s="141"/>
      <c r="E45" s="142"/>
      <c r="F45" s="143">
        <f>E45*'Pricing Model'!$C$6</f>
        <v>0</v>
      </c>
      <c r="G45" s="144"/>
      <c r="H45" s="93"/>
      <c r="I45" s="145"/>
      <c r="J45" s="143">
        <f>I45*'Pricing Model'!$D$6</f>
        <v>0</v>
      </c>
      <c r="K45" s="144" t="str">
        <f t="shared" ref="K45:L45" si="44">G45</f>
        <v/>
      </c>
      <c r="L45" s="95" t="str">
        <f t="shared" si="44"/>
        <v/>
      </c>
      <c r="M45" s="122">
        <v>30000.0</v>
      </c>
      <c r="N45" s="97">
        <f t="shared" si="11"/>
        <v>-1</v>
      </c>
      <c r="O45" s="123">
        <v>33000.0</v>
      </c>
      <c r="P45" s="97">
        <f t="shared" si="12"/>
        <v>-1</v>
      </c>
      <c r="Q45" s="82">
        <f t="shared" si="13"/>
        <v>0</v>
      </c>
      <c r="R45" s="83" t="str">
        <f>SUM($F45,$J45)/'Pricing Model'!$E$6</f>
        <v>#DIV/0!</v>
      </c>
      <c r="S45" s="99">
        <v>0.002</v>
      </c>
      <c r="T45" s="85"/>
      <c r="U45" s="86"/>
      <c r="V45" s="85"/>
      <c r="W45" s="147">
        <f t="shared" si="14"/>
        <v>0</v>
      </c>
      <c r="X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4"/>
      <c r="C46" s="124" t="s">
        <v>92</v>
      </c>
      <c r="D46" s="125"/>
      <c r="E46" s="126"/>
      <c r="F46" s="127">
        <f>E46*'Pricing Model'!$C$6</f>
        <v>0</v>
      </c>
      <c r="G46" s="128"/>
      <c r="H46" s="129"/>
      <c r="I46" s="130"/>
      <c r="J46" s="127">
        <f>I46*'Pricing Model'!$D$6</f>
        <v>0</v>
      </c>
      <c r="K46" s="128" t="str">
        <f t="shared" ref="K46:L46" si="45">G46</f>
        <v/>
      </c>
      <c r="L46" s="131" t="str">
        <f t="shared" si="45"/>
        <v/>
      </c>
      <c r="M46" s="132">
        <v>60000.0</v>
      </c>
      <c r="N46" s="133">
        <f t="shared" si="11"/>
        <v>-1</v>
      </c>
      <c r="O46" s="134">
        <v>66000.0</v>
      </c>
      <c r="P46" s="133">
        <f t="shared" si="12"/>
        <v>-1</v>
      </c>
      <c r="Q46" s="135">
        <f t="shared" si="13"/>
        <v>0</v>
      </c>
      <c r="R46" s="136" t="str">
        <f>SUM($F46,$J46)/'Pricing Model'!$E$6</f>
        <v>#DIV/0!</v>
      </c>
      <c r="S46" s="137">
        <v>0.0</v>
      </c>
      <c r="T46" s="138"/>
      <c r="U46" s="139"/>
      <c r="V46" s="138"/>
      <c r="W46" s="140">
        <f t="shared" si="14"/>
        <v>0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4"/>
      <c r="C47" s="89" t="s">
        <v>93</v>
      </c>
      <c r="D47" s="141"/>
      <c r="E47" s="142"/>
      <c r="F47" s="143">
        <v>0.0</v>
      </c>
      <c r="G47" s="144"/>
      <c r="H47" s="93"/>
      <c r="I47" s="145"/>
      <c r="J47" s="143">
        <f>I47*'Pricing Model'!$D$6</f>
        <v>0</v>
      </c>
      <c r="K47" s="144" t="str">
        <f t="shared" ref="K47:L47" si="46">G47</f>
        <v/>
      </c>
      <c r="L47" s="95" t="str">
        <f t="shared" si="46"/>
        <v/>
      </c>
      <c r="M47" s="122">
        <v>3000.0</v>
      </c>
      <c r="N47" s="97">
        <f t="shared" si="11"/>
        <v>-1</v>
      </c>
      <c r="O47" s="123">
        <v>2800.0</v>
      </c>
      <c r="P47" s="97">
        <f t="shared" si="12"/>
        <v>-1</v>
      </c>
      <c r="Q47" s="82">
        <f t="shared" si="13"/>
        <v>0</v>
      </c>
      <c r="R47" s="83" t="str">
        <f>SUM($F47,$J47)/'Pricing Model'!$E$6</f>
        <v>#DIV/0!</v>
      </c>
      <c r="S47" s="99">
        <v>0.054</v>
      </c>
      <c r="T47" s="85"/>
      <c r="U47" s="86"/>
      <c r="V47" s="85"/>
      <c r="W47" s="147">
        <f t="shared" si="14"/>
        <v>0</v>
      </c>
      <c r="X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4"/>
      <c r="C48" s="89" t="s">
        <v>94</v>
      </c>
      <c r="D48" s="141"/>
      <c r="E48" s="142"/>
      <c r="F48" s="143">
        <v>0.0</v>
      </c>
      <c r="G48" s="144"/>
      <c r="H48" s="93"/>
      <c r="I48" s="145"/>
      <c r="J48" s="143">
        <f>I48*'Pricing Model'!$D$6</f>
        <v>0</v>
      </c>
      <c r="K48" s="144" t="str">
        <f t="shared" ref="K48:L48" si="47">G48</f>
        <v/>
      </c>
      <c r="L48" s="95" t="str">
        <f t="shared" si="47"/>
        <v/>
      </c>
      <c r="M48" s="122">
        <v>6000.0</v>
      </c>
      <c r="N48" s="97">
        <f t="shared" si="11"/>
        <v>-1</v>
      </c>
      <c r="O48" s="123">
        <v>5600.0</v>
      </c>
      <c r="P48" s="97">
        <f t="shared" si="12"/>
        <v>-1</v>
      </c>
      <c r="Q48" s="82">
        <f t="shared" si="13"/>
        <v>0</v>
      </c>
      <c r="R48" s="83" t="str">
        <f>SUM($F48,$J48)/'Pricing Model'!$E$6</f>
        <v>#DIV/0!</v>
      </c>
      <c r="S48" s="99">
        <v>0.005</v>
      </c>
      <c r="T48" s="85"/>
      <c r="U48" s="86"/>
      <c r="V48" s="85"/>
      <c r="W48" s="147">
        <f t="shared" si="14"/>
        <v>0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124" t="s">
        <v>95</v>
      </c>
      <c r="D49" s="125"/>
      <c r="E49" s="126"/>
      <c r="F49" s="127">
        <v>0.0</v>
      </c>
      <c r="G49" s="128"/>
      <c r="H49" s="129"/>
      <c r="I49" s="130"/>
      <c r="J49" s="127">
        <f>I49*'Pricing Model'!$D$6</f>
        <v>0</v>
      </c>
      <c r="K49" s="128" t="str">
        <f t="shared" ref="K49:L49" si="48">G49</f>
        <v/>
      </c>
      <c r="L49" s="131" t="str">
        <f t="shared" si="48"/>
        <v/>
      </c>
      <c r="M49" s="132">
        <v>15000.0</v>
      </c>
      <c r="N49" s="133">
        <f t="shared" si="11"/>
        <v>-1</v>
      </c>
      <c r="O49" s="134">
        <v>14000.0</v>
      </c>
      <c r="P49" s="133">
        <f t="shared" si="12"/>
        <v>-1</v>
      </c>
      <c r="Q49" s="135">
        <f t="shared" si="13"/>
        <v>0</v>
      </c>
      <c r="R49" s="136" t="str">
        <f>SUM($F49,$J49)/'Pricing Model'!$E$6</f>
        <v>#DIV/0!</v>
      </c>
      <c r="S49" s="137">
        <v>0.001</v>
      </c>
      <c r="T49" s="138"/>
      <c r="U49" s="139"/>
      <c r="V49" s="138"/>
      <c r="W49" s="140">
        <f t="shared" si="14"/>
        <v>0</v>
      </c>
      <c r="X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89" t="s">
        <v>96</v>
      </c>
      <c r="D50" s="141"/>
      <c r="E50" s="142"/>
      <c r="F50" s="143">
        <f>E50*'Pricing Model'!$C$6</f>
        <v>0</v>
      </c>
      <c r="G50" s="144"/>
      <c r="H50" s="93"/>
      <c r="I50" s="145"/>
      <c r="J50" s="143">
        <f>I50*'Pricing Model'!$D$6</f>
        <v>0</v>
      </c>
      <c r="K50" s="144" t="str">
        <f t="shared" ref="K50:L50" si="49">G50</f>
        <v/>
      </c>
      <c r="L50" s="95" t="str">
        <f t="shared" si="49"/>
        <v/>
      </c>
      <c r="M50" s="122">
        <v>800.0</v>
      </c>
      <c r="N50" s="97">
        <f t="shared" si="11"/>
        <v>-1</v>
      </c>
      <c r="O50" s="123">
        <v>1200.0</v>
      </c>
      <c r="P50" s="97">
        <f t="shared" si="12"/>
        <v>-1</v>
      </c>
      <c r="Q50" s="82">
        <f t="shared" si="13"/>
        <v>0</v>
      </c>
      <c r="R50" s="83" t="str">
        <f>SUM($F50,$J50)/'Pricing Model'!$E$6</f>
        <v>#DIV/0!</v>
      </c>
      <c r="S50" s="99">
        <v>0.013</v>
      </c>
      <c r="T50" s="85"/>
      <c r="U50" s="86"/>
      <c r="V50" s="85"/>
      <c r="W50" s="147">
        <f t="shared" si="14"/>
        <v>0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89" t="s">
        <v>97</v>
      </c>
      <c r="D51" s="141"/>
      <c r="E51" s="142"/>
      <c r="F51" s="143">
        <f>E51*'Pricing Model'!$C$6</f>
        <v>0</v>
      </c>
      <c r="G51" s="144"/>
      <c r="H51" s="93"/>
      <c r="I51" s="145"/>
      <c r="J51" s="143">
        <f>I51*'Pricing Model'!$D$6</f>
        <v>0</v>
      </c>
      <c r="K51" s="144" t="str">
        <f t="shared" ref="K51:L51" si="50">G51</f>
        <v/>
      </c>
      <c r="L51" s="95" t="str">
        <f t="shared" si="50"/>
        <v/>
      </c>
      <c r="M51" s="122">
        <v>1000.0</v>
      </c>
      <c r="N51" s="97">
        <f t="shared" si="11"/>
        <v>-1</v>
      </c>
      <c r="O51" s="123">
        <v>1200.0</v>
      </c>
      <c r="P51" s="97">
        <f t="shared" si="12"/>
        <v>-1</v>
      </c>
      <c r="Q51" s="82">
        <f t="shared" si="13"/>
        <v>0</v>
      </c>
      <c r="R51" s="83" t="str">
        <f>SUM($F51,$J51)/'Pricing Model'!$E$6</f>
        <v>#DIV/0!</v>
      </c>
      <c r="S51" s="99">
        <v>0.015</v>
      </c>
      <c r="T51" s="85"/>
      <c r="U51" s="86"/>
      <c r="V51" s="85"/>
      <c r="W51" s="147">
        <f t="shared" si="14"/>
        <v>0</v>
      </c>
      <c r="X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89" t="s">
        <v>98</v>
      </c>
      <c r="D52" s="141"/>
      <c r="E52" s="142"/>
      <c r="F52" s="143">
        <f>E52*'Pricing Model'!$C$6</f>
        <v>0</v>
      </c>
      <c r="G52" s="144"/>
      <c r="H52" s="93"/>
      <c r="I52" s="145"/>
      <c r="J52" s="143">
        <f>I52*'Pricing Model'!$D$6</f>
        <v>0</v>
      </c>
      <c r="K52" s="144" t="str">
        <f t="shared" ref="K52:L52" si="51">G52</f>
        <v/>
      </c>
      <c r="L52" s="95" t="str">
        <f t="shared" si="51"/>
        <v/>
      </c>
      <c r="M52" s="122">
        <v>1100.0</v>
      </c>
      <c r="N52" s="97">
        <f t="shared" si="11"/>
        <v>-1</v>
      </c>
      <c r="O52" s="123">
        <v>1200.0</v>
      </c>
      <c r="P52" s="97">
        <f t="shared" si="12"/>
        <v>-1</v>
      </c>
      <c r="Q52" s="82">
        <f t="shared" si="13"/>
        <v>0</v>
      </c>
      <c r="R52" s="83" t="str">
        <f>SUM($F52,$J52)/'Pricing Model'!$E$6</f>
        <v>#DIV/0!</v>
      </c>
      <c r="S52" s="99">
        <v>0.017</v>
      </c>
      <c r="T52" s="85"/>
      <c r="U52" s="86"/>
      <c r="V52" s="85"/>
      <c r="W52" s="147">
        <f t="shared" si="14"/>
        <v>0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148" t="s">
        <v>99</v>
      </c>
      <c r="D53" s="149"/>
      <c r="E53" s="150"/>
      <c r="F53" s="151">
        <f>E53*'Pricing Model'!$C$6</f>
        <v>0</v>
      </c>
      <c r="G53" s="152"/>
      <c r="H53" s="108"/>
      <c r="I53" s="153"/>
      <c r="J53" s="151">
        <f>I53*'Pricing Model'!$D$6</f>
        <v>0</v>
      </c>
      <c r="K53" s="152" t="str">
        <f t="shared" ref="K53:L53" si="52">G53</f>
        <v/>
      </c>
      <c r="L53" s="110" t="str">
        <f t="shared" si="52"/>
        <v/>
      </c>
      <c r="M53" s="111">
        <v>100.0</v>
      </c>
      <c r="N53" s="112">
        <f t="shared" si="11"/>
        <v>-1</v>
      </c>
      <c r="O53" s="113">
        <v>0.0</v>
      </c>
      <c r="P53" s="112">
        <f t="shared" si="12"/>
        <v>0</v>
      </c>
      <c r="Q53" s="114">
        <f t="shared" si="13"/>
        <v>0</v>
      </c>
      <c r="R53" s="115" t="str">
        <f>SUM($F53,$J53)/'Pricing Model'!$E$6</f>
        <v>#DIV/0!</v>
      </c>
      <c r="S53" s="116">
        <v>0.0</v>
      </c>
      <c r="T53" s="117"/>
      <c r="U53" s="118"/>
      <c r="V53" s="117"/>
      <c r="W53" s="154">
        <f t="shared" si="14"/>
        <v>0</v>
      </c>
      <c r="X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102" t="s">
        <v>100</v>
      </c>
      <c r="D54" s="141"/>
      <c r="E54" s="142"/>
      <c r="F54" s="143">
        <f>E54*'Pricing Model'!$C$6</f>
        <v>0</v>
      </c>
      <c r="G54" s="121"/>
      <c r="H54" s="93"/>
      <c r="I54" s="145"/>
      <c r="J54" s="143">
        <f>I54*'Pricing Model'!$D$6</f>
        <v>0</v>
      </c>
      <c r="K54" s="121" t="str">
        <f t="shared" ref="K54:L54" si="53">G54</f>
        <v/>
      </c>
      <c r="L54" s="95" t="str">
        <f t="shared" si="53"/>
        <v/>
      </c>
      <c r="M54" s="122">
        <v>150.0</v>
      </c>
      <c r="N54" s="97">
        <f t="shared" si="11"/>
        <v>-1</v>
      </c>
      <c r="O54" s="123">
        <v>0.0</v>
      </c>
      <c r="P54" s="97">
        <f t="shared" si="12"/>
        <v>0</v>
      </c>
      <c r="Q54" s="82">
        <f t="shared" si="13"/>
        <v>0</v>
      </c>
      <c r="R54" s="83" t="str">
        <f>SUM($F54,$J54)/'Pricing Model'!$E$6</f>
        <v>#DIV/0!</v>
      </c>
      <c r="S54" s="99">
        <v>0.345</v>
      </c>
      <c r="T54" s="85"/>
      <c r="U54" s="86"/>
      <c r="V54" s="86"/>
      <c r="W54" s="147">
        <f t="shared" si="14"/>
        <v>0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102" t="s">
        <v>101</v>
      </c>
      <c r="D55" s="141"/>
      <c r="E55" s="142"/>
      <c r="F55" s="143">
        <f>E55*'Pricing Model'!$C$6</f>
        <v>0</v>
      </c>
      <c r="G55" s="121"/>
      <c r="H55" s="93"/>
      <c r="I55" s="145"/>
      <c r="J55" s="143">
        <f>I55*'Pricing Model'!$D$6</f>
        <v>0</v>
      </c>
      <c r="K55" s="121" t="str">
        <f t="shared" ref="K55:L55" si="54">G55</f>
        <v/>
      </c>
      <c r="L55" s="95" t="str">
        <f t="shared" si="54"/>
        <v/>
      </c>
      <c r="M55" s="122">
        <v>28000.0</v>
      </c>
      <c r="N55" s="97">
        <f t="shared" si="11"/>
        <v>-1</v>
      </c>
      <c r="O55" s="123">
        <v>24000.0</v>
      </c>
      <c r="P55" s="97">
        <f t="shared" si="12"/>
        <v>-1</v>
      </c>
      <c r="Q55" s="82">
        <f t="shared" si="13"/>
        <v>0</v>
      </c>
      <c r="R55" s="83" t="str">
        <f>SUM($F55,$J55)/'Pricing Model'!$E$6</f>
        <v>#DIV/0!</v>
      </c>
      <c r="S55" s="99">
        <v>0.078</v>
      </c>
      <c r="T55" s="85"/>
      <c r="U55" s="86"/>
      <c r="V55" s="86"/>
      <c r="W55" s="147">
        <f t="shared" si="14"/>
        <v>0</v>
      </c>
      <c r="X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156" t="s">
        <v>102</v>
      </c>
      <c r="D56" s="157"/>
      <c r="E56" s="158"/>
      <c r="F56" s="159">
        <f>E56*'Pricing Model'!$C$6</f>
        <v>0</v>
      </c>
      <c r="G56" s="160"/>
      <c r="H56" s="161"/>
      <c r="I56" s="162"/>
      <c r="J56" s="159">
        <f>I56*'Pricing Model'!$D$6</f>
        <v>0</v>
      </c>
      <c r="K56" s="160" t="str">
        <f t="shared" ref="K56:L56" si="55">G56</f>
        <v/>
      </c>
      <c r="L56" s="163" t="str">
        <f t="shared" si="55"/>
        <v/>
      </c>
      <c r="M56" s="164">
        <v>75000.0</v>
      </c>
      <c r="N56" s="165">
        <f t="shared" si="11"/>
        <v>-1</v>
      </c>
      <c r="O56" s="166">
        <v>55000.0</v>
      </c>
      <c r="P56" s="165">
        <f t="shared" si="12"/>
        <v>-1</v>
      </c>
      <c r="Q56" s="167">
        <f t="shared" si="13"/>
        <v>0</v>
      </c>
      <c r="R56" s="168" t="str">
        <f>SUM($F56,$J56)/'Pricing Model'!$E$6</f>
        <v>#DIV/0!</v>
      </c>
      <c r="S56" s="169">
        <v>0.062</v>
      </c>
      <c r="T56" s="170"/>
      <c r="U56" s="171"/>
      <c r="V56" s="171"/>
      <c r="W56" s="172">
        <f t="shared" si="14"/>
        <v>0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6"/>
      <c r="O57" s="4"/>
      <c r="P57" s="56"/>
      <c r="Q57" s="17"/>
      <c r="R57" s="39"/>
      <c r="S57" s="4"/>
      <c r="T57" s="4"/>
      <c r="U57" s="4"/>
      <c r="V57" s="4"/>
      <c r="W57" s="4"/>
      <c r="X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6"/>
      <c r="O58" s="4"/>
      <c r="P58" s="56"/>
      <c r="Q58" s="17"/>
      <c r="R58" s="3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173"/>
      <c r="I59" s="4"/>
      <c r="J59" s="4"/>
      <c r="K59" s="4"/>
      <c r="L59" s="4"/>
      <c r="M59" s="4"/>
      <c r="N59" s="56"/>
      <c r="O59" s="4"/>
      <c r="P59" s="56"/>
      <c r="Q59" s="17"/>
      <c r="R59" s="39"/>
      <c r="S59" s="4"/>
      <c r="T59" s="4"/>
      <c r="U59" s="4"/>
      <c r="V59" s="4"/>
      <c r="W59" s="4"/>
      <c r="X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173"/>
      <c r="I60" s="4"/>
      <c r="J60" s="4"/>
      <c r="K60" s="4"/>
      <c r="L60" s="4"/>
      <c r="M60" s="4"/>
      <c r="N60" s="56"/>
      <c r="O60" s="4"/>
      <c r="P60" s="56"/>
      <c r="Q60" s="17"/>
      <c r="R60" s="3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173"/>
      <c r="I61" s="4"/>
      <c r="J61" s="4"/>
      <c r="K61" s="4"/>
      <c r="L61" s="4"/>
      <c r="M61" s="4"/>
      <c r="N61" s="56"/>
      <c r="O61" s="4"/>
      <c r="P61" s="56"/>
      <c r="Q61" s="17"/>
      <c r="R61" s="39"/>
      <c r="S61" s="4"/>
      <c r="T61" s="4"/>
      <c r="U61" s="4"/>
      <c r="V61" s="4"/>
      <c r="W61" s="4"/>
      <c r="X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35"/>
      <c r="E62" s="4"/>
      <c r="F62" s="4"/>
      <c r="G62" s="4"/>
      <c r="H62" s="173"/>
      <c r="I62" s="4"/>
      <c r="J62" s="4"/>
      <c r="K62" s="4"/>
      <c r="L62" s="4"/>
      <c r="M62" s="4"/>
      <c r="N62" s="56"/>
      <c r="O62" s="4"/>
      <c r="P62" s="56"/>
      <c r="Q62" s="17"/>
      <c r="R62" s="3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173"/>
      <c r="I63" s="4"/>
      <c r="J63" s="4"/>
      <c r="K63" s="4"/>
      <c r="L63" s="4"/>
      <c r="M63" s="4"/>
      <c r="N63" s="174"/>
      <c r="O63" s="4"/>
      <c r="P63" s="174"/>
      <c r="Q63" s="17"/>
      <c r="R63" s="39"/>
      <c r="S63" s="175"/>
      <c r="T63" s="175"/>
      <c r="U63" s="4"/>
      <c r="V63" s="4"/>
      <c r="W63" s="4"/>
      <c r="X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173"/>
      <c r="I64" s="4"/>
      <c r="J64" s="4"/>
      <c r="K64" s="4"/>
      <c r="L64" s="4"/>
      <c r="M64" s="4"/>
      <c r="N64" s="56"/>
      <c r="O64" s="4"/>
      <c r="P64" s="56"/>
      <c r="Q64" s="17"/>
      <c r="R64" s="3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173"/>
      <c r="I65" s="4"/>
      <c r="J65" s="4"/>
      <c r="K65" s="4"/>
      <c r="L65" s="4"/>
      <c r="M65" s="4"/>
      <c r="N65" s="56"/>
      <c r="O65" s="4"/>
      <c r="P65" s="56"/>
      <c r="Q65" s="17"/>
      <c r="R65" s="39"/>
      <c r="S65" s="4"/>
      <c r="T65" s="4"/>
      <c r="U65" s="4"/>
      <c r="V65" s="4"/>
      <c r="W65" s="4"/>
      <c r="X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173"/>
      <c r="I66" s="4"/>
      <c r="J66" s="4"/>
      <c r="K66" s="4"/>
      <c r="L66" s="4"/>
      <c r="M66" s="4"/>
      <c r="N66" s="56"/>
      <c r="O66" s="4"/>
      <c r="P66" s="56"/>
      <c r="Q66" s="17"/>
      <c r="R66" s="3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173"/>
      <c r="I67" s="4"/>
      <c r="J67" s="4"/>
      <c r="K67" s="4"/>
      <c r="L67" s="4"/>
      <c r="M67" s="4"/>
      <c r="N67" s="56"/>
      <c r="O67" s="4"/>
      <c r="P67" s="56"/>
      <c r="Q67" s="17"/>
      <c r="R67" s="39"/>
      <c r="S67" s="4"/>
      <c r="T67" s="4"/>
      <c r="U67" s="4"/>
      <c r="V67" s="4"/>
      <c r="W67" s="4"/>
      <c r="X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173"/>
      <c r="I68" s="4"/>
      <c r="J68" s="4"/>
      <c r="K68" s="4"/>
      <c r="L68" s="4"/>
      <c r="M68" s="4"/>
      <c r="N68" s="56"/>
      <c r="O68" s="4"/>
      <c r="P68" s="56"/>
      <c r="Q68" s="17"/>
      <c r="R68" s="3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173"/>
      <c r="I69" s="4"/>
      <c r="J69" s="4"/>
      <c r="K69" s="4"/>
      <c r="L69" s="4"/>
      <c r="M69" s="4"/>
      <c r="N69" s="56"/>
      <c r="O69" s="4"/>
      <c r="P69" s="56"/>
      <c r="Q69" s="17"/>
      <c r="R69" s="39"/>
      <c r="S69" s="4"/>
      <c r="T69" s="4"/>
      <c r="U69" s="4"/>
      <c r="V69" s="4"/>
      <c r="W69" s="4"/>
      <c r="X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173"/>
      <c r="I70" s="4"/>
      <c r="J70" s="4"/>
      <c r="K70" s="4"/>
      <c r="L70" s="4"/>
      <c r="M70" s="4"/>
      <c r="N70" s="56"/>
      <c r="O70" s="4"/>
      <c r="P70" s="56"/>
      <c r="Q70" s="17"/>
      <c r="R70" s="3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173"/>
      <c r="I71" s="4"/>
      <c r="J71" s="4"/>
      <c r="K71" s="4"/>
      <c r="L71" s="4"/>
      <c r="M71" s="4"/>
      <c r="N71" s="56"/>
      <c r="O71" s="4"/>
      <c r="P71" s="56"/>
      <c r="Q71" s="17"/>
      <c r="R71" s="39"/>
      <c r="S71" s="4"/>
      <c r="T71" s="4"/>
      <c r="U71" s="4"/>
      <c r="V71" s="4"/>
      <c r="W71" s="4"/>
      <c r="X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173"/>
      <c r="I72" s="4"/>
      <c r="J72" s="4"/>
      <c r="K72" s="4"/>
      <c r="L72" s="4"/>
      <c r="M72" s="4"/>
      <c r="N72" s="56"/>
      <c r="O72" s="4"/>
      <c r="P72" s="56"/>
      <c r="Q72" s="17"/>
      <c r="R72" s="3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173"/>
      <c r="I73" s="4"/>
      <c r="J73" s="4"/>
      <c r="K73" s="4"/>
      <c r="L73" s="4"/>
      <c r="M73" s="4"/>
      <c r="N73" s="56"/>
      <c r="O73" s="4"/>
      <c r="P73" s="56"/>
      <c r="Q73" s="17"/>
      <c r="R73" s="39"/>
      <c r="S73" s="4"/>
      <c r="T73" s="4"/>
      <c r="U73" s="4"/>
      <c r="V73" s="4"/>
      <c r="W73" s="4"/>
      <c r="X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173"/>
      <c r="I74" s="4"/>
      <c r="J74" s="4"/>
      <c r="K74" s="4"/>
      <c r="L74" s="4"/>
      <c r="M74" s="4"/>
      <c r="N74" s="56"/>
      <c r="O74" s="4"/>
      <c r="P74" s="56"/>
      <c r="Q74" s="17"/>
      <c r="R74" s="3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173"/>
      <c r="I75" s="4"/>
      <c r="J75" s="4"/>
      <c r="K75" s="4"/>
      <c r="L75" s="4"/>
      <c r="M75" s="4"/>
      <c r="N75" s="56"/>
      <c r="O75" s="4"/>
      <c r="P75" s="56"/>
      <c r="Q75" s="17"/>
      <c r="R75" s="39"/>
      <c r="S75" s="4"/>
      <c r="T75" s="4"/>
      <c r="U75" s="4"/>
      <c r="V75" s="4"/>
      <c r="W75" s="4"/>
      <c r="X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173"/>
      <c r="I76" s="4"/>
      <c r="J76" s="4"/>
      <c r="K76" s="4"/>
      <c r="L76" s="4"/>
      <c r="M76" s="4"/>
      <c r="N76" s="56"/>
      <c r="O76" s="4"/>
      <c r="P76" s="56"/>
      <c r="Q76" s="17"/>
      <c r="R76" s="3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173"/>
      <c r="I77" s="4"/>
      <c r="J77" s="4"/>
      <c r="K77" s="4"/>
      <c r="L77" s="4"/>
      <c r="M77" s="4"/>
      <c r="N77" s="56"/>
      <c r="O77" s="4"/>
      <c r="P77" s="56"/>
      <c r="Q77" s="17"/>
      <c r="R77" s="39"/>
      <c r="S77" s="4"/>
      <c r="T77" s="4"/>
      <c r="U77" s="4"/>
      <c r="V77" s="4"/>
      <c r="W77" s="4"/>
      <c r="X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173"/>
      <c r="I78" s="4"/>
      <c r="J78" s="4"/>
      <c r="K78" s="4"/>
      <c r="L78" s="4"/>
      <c r="M78" s="4"/>
      <c r="N78" s="56"/>
      <c r="O78" s="4"/>
      <c r="P78" s="56"/>
      <c r="Q78" s="17"/>
      <c r="R78" s="3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173"/>
      <c r="I79" s="4"/>
      <c r="J79" s="4"/>
      <c r="K79" s="4"/>
      <c r="L79" s="4"/>
      <c r="M79" s="4"/>
      <c r="N79" s="38"/>
      <c r="O79" s="4"/>
      <c r="P79" s="38"/>
      <c r="Q79" s="17"/>
      <c r="R79" s="4"/>
      <c r="S79" s="39"/>
      <c r="T79" s="4"/>
      <c r="U79" s="4"/>
      <c r="V79" s="4"/>
      <c r="W79" s="4"/>
      <c r="X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173"/>
      <c r="I80" s="4"/>
      <c r="J80" s="4"/>
      <c r="K80" s="4"/>
      <c r="L80" s="4"/>
      <c r="M80" s="4"/>
      <c r="N80" s="38"/>
      <c r="O80" s="4"/>
      <c r="P80" s="38"/>
      <c r="Q80" s="17"/>
      <c r="R80" s="4"/>
      <c r="S80" s="39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173"/>
      <c r="I81" s="4"/>
      <c r="J81" s="4"/>
      <c r="K81" s="4"/>
      <c r="L81" s="4"/>
      <c r="M81" s="4"/>
      <c r="N81" s="38"/>
      <c r="O81" s="4"/>
      <c r="P81" s="38"/>
      <c r="Q81" s="17"/>
      <c r="R81" s="4"/>
      <c r="S81" s="39"/>
      <c r="T81" s="4"/>
      <c r="U81" s="4"/>
      <c r="V81" s="4"/>
      <c r="W81" s="4"/>
      <c r="X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173"/>
      <c r="I82" s="4"/>
      <c r="J82" s="4"/>
      <c r="K82" s="4"/>
      <c r="L82" s="4"/>
      <c r="M82" s="4"/>
      <c r="N82" s="38"/>
      <c r="O82" s="4"/>
      <c r="P82" s="38"/>
      <c r="Q82" s="17"/>
      <c r="R82" s="4"/>
      <c r="S82" s="39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173"/>
      <c r="I83" s="4"/>
      <c r="J83" s="4"/>
      <c r="K83" s="4"/>
      <c r="L83" s="4"/>
      <c r="M83" s="4"/>
      <c r="N83" s="38"/>
      <c r="O83" s="4"/>
      <c r="P83" s="38"/>
      <c r="Q83" s="17"/>
      <c r="R83" s="4"/>
      <c r="S83" s="39"/>
      <c r="T83" s="4"/>
      <c r="U83" s="4"/>
      <c r="V83" s="4"/>
      <c r="W83" s="4"/>
      <c r="X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173"/>
      <c r="I84" s="4"/>
      <c r="J84" s="4"/>
      <c r="K84" s="4"/>
      <c r="L84" s="4"/>
      <c r="M84" s="4"/>
      <c r="N84" s="38"/>
      <c r="O84" s="4"/>
      <c r="P84" s="38"/>
      <c r="Q84" s="17"/>
      <c r="R84" s="4"/>
      <c r="S84" s="39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173"/>
      <c r="I85" s="4"/>
      <c r="J85" s="4"/>
      <c r="K85" s="4"/>
      <c r="L85" s="4"/>
      <c r="M85" s="4"/>
      <c r="N85" s="38"/>
      <c r="O85" s="4"/>
      <c r="P85" s="38"/>
      <c r="Q85" s="17"/>
      <c r="R85" s="4"/>
      <c r="S85" s="39"/>
      <c r="T85" s="4"/>
      <c r="U85" s="4"/>
      <c r="V85" s="4"/>
      <c r="W85" s="4"/>
      <c r="X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173"/>
      <c r="I86" s="4"/>
      <c r="J86" s="4"/>
      <c r="K86" s="4"/>
      <c r="L86" s="4"/>
      <c r="M86" s="4"/>
      <c r="N86" s="38"/>
      <c r="O86" s="4"/>
      <c r="P86" s="38"/>
      <c r="Q86" s="17"/>
      <c r="R86" s="4"/>
      <c r="S86" s="39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173"/>
      <c r="I87" s="4"/>
      <c r="J87" s="4"/>
      <c r="K87" s="4"/>
      <c r="L87" s="4"/>
      <c r="M87" s="4"/>
      <c r="N87" s="38"/>
      <c r="O87" s="4"/>
      <c r="P87" s="38"/>
      <c r="Q87" s="17"/>
      <c r="R87" s="4"/>
      <c r="S87" s="39"/>
      <c r="T87" s="4"/>
      <c r="U87" s="4"/>
      <c r="V87" s="4"/>
      <c r="W87" s="4"/>
      <c r="X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173"/>
      <c r="I88" s="4"/>
      <c r="J88" s="4"/>
      <c r="K88" s="4"/>
      <c r="L88" s="4"/>
      <c r="M88" s="4"/>
      <c r="N88" s="38"/>
      <c r="O88" s="4"/>
      <c r="P88" s="38"/>
      <c r="Q88" s="17"/>
      <c r="R88" s="4"/>
      <c r="S88" s="39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173"/>
      <c r="I89" s="4"/>
      <c r="J89" s="4"/>
      <c r="K89" s="4"/>
      <c r="L89" s="4"/>
      <c r="M89" s="4"/>
      <c r="N89" s="38"/>
      <c r="O89" s="4"/>
      <c r="P89" s="38"/>
      <c r="Q89" s="17"/>
      <c r="R89" s="4"/>
      <c r="S89" s="39"/>
      <c r="T89" s="4"/>
      <c r="U89" s="4"/>
      <c r="V89" s="4"/>
      <c r="W89" s="4"/>
      <c r="X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173"/>
      <c r="I90" s="4"/>
      <c r="J90" s="4"/>
      <c r="K90" s="4"/>
      <c r="L90" s="4"/>
      <c r="M90" s="4"/>
      <c r="N90" s="38"/>
      <c r="O90" s="4"/>
      <c r="P90" s="38"/>
      <c r="Q90" s="17"/>
      <c r="R90" s="4"/>
      <c r="S90" s="39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173"/>
      <c r="I91" s="4"/>
      <c r="J91" s="4"/>
      <c r="K91" s="4"/>
      <c r="L91" s="4"/>
      <c r="M91" s="4"/>
      <c r="N91" s="38"/>
      <c r="O91" s="4"/>
      <c r="P91" s="38"/>
      <c r="Q91" s="17"/>
      <c r="R91" s="4"/>
      <c r="S91" s="39"/>
      <c r="T91" s="4"/>
      <c r="U91" s="4"/>
      <c r="V91" s="4"/>
      <c r="W91" s="4"/>
      <c r="X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173"/>
      <c r="I92" s="4"/>
      <c r="J92" s="4"/>
      <c r="K92" s="4"/>
      <c r="L92" s="4"/>
      <c r="M92" s="4"/>
      <c r="N92" s="38"/>
      <c r="O92" s="4"/>
      <c r="P92" s="38"/>
      <c r="Q92" s="17"/>
      <c r="R92" s="4"/>
      <c r="S92" s="39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173"/>
      <c r="I93" s="4"/>
      <c r="J93" s="4"/>
      <c r="K93" s="4"/>
      <c r="L93" s="4"/>
      <c r="M93" s="4"/>
      <c r="N93" s="38"/>
      <c r="O93" s="4"/>
      <c r="P93" s="38"/>
      <c r="Q93" s="17"/>
      <c r="R93" s="4"/>
      <c r="S93" s="39"/>
      <c r="T93" s="4"/>
      <c r="U93" s="4"/>
      <c r="V93" s="4"/>
      <c r="W93" s="4"/>
      <c r="X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173"/>
      <c r="I94" s="4"/>
      <c r="J94" s="4"/>
      <c r="K94" s="4"/>
      <c r="L94" s="4"/>
      <c r="M94" s="4"/>
      <c r="N94" s="38"/>
      <c r="O94" s="4"/>
      <c r="P94" s="38"/>
      <c r="Q94" s="17"/>
      <c r="R94" s="4"/>
      <c r="S94" s="39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173"/>
      <c r="I95" s="4"/>
      <c r="J95" s="4"/>
      <c r="K95" s="4"/>
      <c r="L95" s="4"/>
      <c r="M95" s="4"/>
      <c r="N95" s="38"/>
      <c r="O95" s="4"/>
      <c r="P95" s="38"/>
      <c r="Q95" s="17"/>
      <c r="R95" s="4"/>
      <c r="S95" s="39"/>
      <c r="T95" s="4"/>
      <c r="U95" s="4"/>
      <c r="V95" s="4"/>
      <c r="W95" s="4"/>
      <c r="X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173"/>
      <c r="I96" s="4"/>
      <c r="J96" s="4"/>
      <c r="K96" s="4"/>
      <c r="L96" s="4"/>
      <c r="M96" s="4"/>
      <c r="N96" s="38"/>
      <c r="O96" s="4"/>
      <c r="P96" s="38"/>
      <c r="Q96" s="17"/>
      <c r="R96" s="4"/>
      <c r="S96" s="39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173"/>
      <c r="I97" s="4"/>
      <c r="J97" s="4"/>
      <c r="K97" s="4"/>
      <c r="L97" s="4"/>
      <c r="M97" s="4"/>
      <c r="N97" s="38"/>
      <c r="O97" s="4"/>
      <c r="P97" s="38"/>
      <c r="Q97" s="17"/>
      <c r="R97" s="4"/>
      <c r="S97" s="39"/>
      <c r="T97" s="4"/>
      <c r="U97" s="4"/>
      <c r="V97" s="4"/>
      <c r="W97" s="4"/>
      <c r="X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173"/>
      <c r="I98" s="4"/>
      <c r="J98" s="4"/>
      <c r="K98" s="4"/>
      <c r="L98" s="4"/>
      <c r="M98" s="4"/>
      <c r="N98" s="38"/>
      <c r="O98" s="4"/>
      <c r="P98" s="38"/>
      <c r="Q98" s="17"/>
      <c r="R98" s="4"/>
      <c r="S98" s="39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173"/>
      <c r="I99" s="4"/>
      <c r="J99" s="4"/>
      <c r="K99" s="4"/>
      <c r="L99" s="4"/>
      <c r="M99" s="4"/>
      <c r="N99" s="38"/>
      <c r="O99" s="4"/>
      <c r="P99" s="38"/>
      <c r="Q99" s="17"/>
      <c r="R99" s="4"/>
      <c r="S99" s="39"/>
      <c r="T99" s="4"/>
      <c r="U99" s="4"/>
      <c r="V99" s="4"/>
      <c r="W99" s="4"/>
      <c r="X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173"/>
      <c r="I100" s="4"/>
      <c r="J100" s="4"/>
      <c r="K100" s="4"/>
      <c r="L100" s="4"/>
      <c r="M100" s="4"/>
      <c r="N100" s="38"/>
      <c r="O100" s="4"/>
      <c r="P100" s="38"/>
      <c r="Q100" s="17"/>
      <c r="R100" s="4"/>
      <c r="S100" s="39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173"/>
      <c r="I101" s="4"/>
      <c r="J101" s="4"/>
      <c r="K101" s="4"/>
      <c r="L101" s="4"/>
      <c r="M101" s="4"/>
      <c r="N101" s="38"/>
      <c r="O101" s="4"/>
      <c r="P101" s="38"/>
      <c r="Q101" s="17"/>
      <c r="R101" s="4"/>
      <c r="S101" s="39"/>
      <c r="T101" s="4"/>
      <c r="U101" s="4"/>
      <c r="V101" s="4"/>
      <c r="W101" s="4"/>
      <c r="X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173"/>
      <c r="I102" s="4"/>
      <c r="J102" s="4"/>
      <c r="K102" s="4"/>
      <c r="L102" s="4"/>
      <c r="M102" s="4"/>
      <c r="N102" s="38"/>
      <c r="O102" s="4"/>
      <c r="P102" s="38"/>
      <c r="Q102" s="17"/>
      <c r="R102" s="4"/>
      <c r="S102" s="39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173"/>
      <c r="I103" s="4"/>
      <c r="J103" s="4"/>
      <c r="K103" s="4"/>
      <c r="L103" s="4"/>
      <c r="M103" s="4"/>
      <c r="N103" s="38"/>
      <c r="O103" s="4"/>
      <c r="P103" s="38"/>
      <c r="Q103" s="17"/>
      <c r="R103" s="4"/>
      <c r="S103" s="39"/>
      <c r="T103" s="4"/>
      <c r="U103" s="4"/>
      <c r="V103" s="4"/>
      <c r="W103" s="4"/>
      <c r="X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173"/>
      <c r="I104" s="4"/>
      <c r="J104" s="4"/>
      <c r="K104" s="4"/>
      <c r="L104" s="4"/>
      <c r="M104" s="4"/>
      <c r="N104" s="38"/>
      <c r="O104" s="4"/>
      <c r="P104" s="38"/>
      <c r="Q104" s="17"/>
      <c r="R104" s="4"/>
      <c r="S104" s="39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173"/>
      <c r="I105" s="4"/>
      <c r="J105" s="4"/>
      <c r="K105" s="4"/>
      <c r="L105" s="4"/>
      <c r="M105" s="4"/>
      <c r="N105" s="38"/>
      <c r="O105" s="4"/>
      <c r="P105" s="38"/>
      <c r="Q105" s="17"/>
      <c r="R105" s="4"/>
      <c r="S105" s="39"/>
      <c r="T105" s="4"/>
      <c r="U105" s="4"/>
      <c r="V105" s="4"/>
      <c r="W105" s="4"/>
      <c r="X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8"/>
      <c r="O106" s="4"/>
      <c r="P106" s="38"/>
      <c r="Q106" s="17"/>
      <c r="R106" s="4"/>
      <c r="S106" s="39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8"/>
      <c r="O107" s="4"/>
      <c r="P107" s="38"/>
      <c r="Q107" s="17"/>
      <c r="R107" s="4"/>
      <c r="S107" s="39"/>
      <c r="T107" s="4"/>
      <c r="U107" s="4"/>
      <c r="V107" s="4"/>
      <c r="W107" s="4"/>
      <c r="X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8"/>
      <c r="O108" s="4"/>
      <c r="P108" s="38"/>
      <c r="Q108" s="17"/>
      <c r="R108" s="4"/>
      <c r="S108" s="39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8"/>
      <c r="O109" s="4"/>
      <c r="P109" s="38"/>
      <c r="Q109" s="17"/>
      <c r="R109" s="4"/>
      <c r="S109" s="39"/>
      <c r="T109" s="4"/>
      <c r="U109" s="4"/>
      <c r="V109" s="4"/>
      <c r="W109" s="4"/>
      <c r="X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8"/>
      <c r="O110" s="4"/>
      <c r="P110" s="38"/>
      <c r="Q110" s="17"/>
      <c r="R110" s="4"/>
      <c r="S110" s="39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8"/>
      <c r="O111" s="4"/>
      <c r="P111" s="38"/>
      <c r="Q111" s="17"/>
      <c r="R111" s="4"/>
      <c r="S111" s="39"/>
      <c r="T111" s="4"/>
      <c r="U111" s="4"/>
      <c r="V111" s="4"/>
      <c r="W111" s="4"/>
      <c r="X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8"/>
      <c r="O112" s="4"/>
      <c r="P112" s="38"/>
      <c r="Q112" s="17"/>
      <c r="R112" s="4"/>
      <c r="S112" s="39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8"/>
      <c r="O113" s="4"/>
      <c r="P113" s="38"/>
      <c r="Q113" s="17"/>
      <c r="R113" s="4"/>
      <c r="S113" s="39"/>
      <c r="T113" s="4"/>
      <c r="U113" s="4"/>
      <c r="V113" s="4"/>
      <c r="W113" s="4"/>
      <c r="X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8"/>
      <c r="O114" s="4"/>
      <c r="P114" s="38"/>
      <c r="Q114" s="17"/>
      <c r="R114" s="4"/>
      <c r="S114" s="39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8"/>
      <c r="O115" s="4"/>
      <c r="P115" s="38"/>
      <c r="Q115" s="17"/>
      <c r="R115" s="4"/>
      <c r="S115" s="39"/>
      <c r="T115" s="4"/>
      <c r="U115" s="4"/>
      <c r="V115" s="4"/>
      <c r="W115" s="4"/>
      <c r="X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8"/>
      <c r="O116" s="4"/>
      <c r="P116" s="38"/>
      <c r="Q116" s="17"/>
      <c r="R116" s="4"/>
      <c r="S116" s="39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8"/>
      <c r="O117" s="4"/>
      <c r="P117" s="38"/>
      <c r="Q117" s="17"/>
      <c r="R117" s="4"/>
      <c r="S117" s="39"/>
      <c r="T117" s="4"/>
      <c r="U117" s="4"/>
      <c r="V117" s="4"/>
      <c r="W117" s="4"/>
      <c r="X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8"/>
      <c r="O118" s="4"/>
      <c r="P118" s="38"/>
      <c r="Q118" s="17"/>
      <c r="R118" s="4"/>
      <c r="S118" s="39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8"/>
      <c r="O119" s="4"/>
      <c r="P119" s="38"/>
      <c r="Q119" s="17"/>
      <c r="R119" s="4"/>
      <c r="S119" s="39"/>
      <c r="T119" s="4"/>
      <c r="U119" s="4"/>
      <c r="V119" s="4"/>
      <c r="W119" s="4"/>
      <c r="X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8"/>
      <c r="O120" s="4"/>
      <c r="P120" s="38"/>
      <c r="Q120" s="17"/>
      <c r="R120" s="4"/>
      <c r="S120" s="39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8"/>
      <c r="O121" s="4"/>
      <c r="P121" s="38"/>
      <c r="Q121" s="17"/>
      <c r="R121" s="4"/>
      <c r="S121" s="39"/>
      <c r="T121" s="4"/>
      <c r="U121" s="4"/>
      <c r="V121" s="4"/>
      <c r="W121" s="4"/>
      <c r="X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8"/>
      <c r="O122" s="4"/>
      <c r="P122" s="38"/>
      <c r="Q122" s="17"/>
      <c r="R122" s="4"/>
      <c r="S122" s="39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8"/>
      <c r="O123" s="4"/>
      <c r="P123" s="38"/>
      <c r="Q123" s="17"/>
      <c r="R123" s="4"/>
      <c r="S123" s="39"/>
      <c r="T123" s="4"/>
      <c r="U123" s="4"/>
      <c r="V123" s="4"/>
      <c r="W123" s="4"/>
      <c r="X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8"/>
      <c r="O124" s="4"/>
      <c r="P124" s="38"/>
      <c r="Q124" s="17"/>
      <c r="R124" s="4"/>
      <c r="S124" s="39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8"/>
      <c r="O125" s="4"/>
      <c r="P125" s="38"/>
      <c r="Q125" s="17"/>
      <c r="R125" s="4"/>
      <c r="S125" s="39"/>
      <c r="T125" s="4"/>
      <c r="U125" s="4"/>
      <c r="V125" s="4"/>
      <c r="W125" s="4"/>
      <c r="X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8"/>
      <c r="O126" s="4"/>
      <c r="P126" s="38"/>
      <c r="Q126" s="17"/>
      <c r="R126" s="4"/>
      <c r="S126" s="39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8"/>
      <c r="O127" s="4"/>
      <c r="P127" s="38"/>
      <c r="Q127" s="17"/>
      <c r="R127" s="4"/>
      <c r="S127" s="39"/>
      <c r="T127" s="4"/>
      <c r="U127" s="4"/>
      <c r="V127" s="4"/>
      <c r="W127" s="4"/>
      <c r="X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8"/>
      <c r="O128" s="4"/>
      <c r="P128" s="38"/>
      <c r="Q128" s="17"/>
      <c r="R128" s="4"/>
      <c r="S128" s="39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8"/>
      <c r="O129" s="4"/>
      <c r="P129" s="38"/>
      <c r="Q129" s="17"/>
      <c r="R129" s="4"/>
      <c r="S129" s="39"/>
      <c r="T129" s="4"/>
      <c r="U129" s="4"/>
      <c r="V129" s="4"/>
      <c r="W129" s="4"/>
      <c r="X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8"/>
      <c r="O130" s="4"/>
      <c r="P130" s="38"/>
      <c r="Q130" s="17"/>
      <c r="R130" s="4"/>
      <c r="S130" s="39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8"/>
      <c r="O131" s="4"/>
      <c r="P131" s="38"/>
      <c r="Q131" s="17"/>
      <c r="R131" s="4"/>
      <c r="S131" s="39"/>
      <c r="T131" s="4"/>
      <c r="U131" s="4"/>
      <c r="V131" s="4"/>
      <c r="W131" s="4"/>
      <c r="X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8"/>
      <c r="O132" s="4"/>
      <c r="P132" s="38"/>
      <c r="Q132" s="17"/>
      <c r="R132" s="4"/>
      <c r="S132" s="39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8"/>
      <c r="O133" s="4"/>
      <c r="P133" s="38"/>
      <c r="Q133" s="17"/>
      <c r="R133" s="4"/>
      <c r="S133" s="39"/>
      <c r="T133" s="4"/>
      <c r="U133" s="4"/>
      <c r="V133" s="4"/>
      <c r="W133" s="4"/>
      <c r="X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8"/>
      <c r="O134" s="4"/>
      <c r="P134" s="38"/>
      <c r="Q134" s="17"/>
      <c r="R134" s="4"/>
      <c r="S134" s="39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8"/>
      <c r="O135" s="4"/>
      <c r="P135" s="38"/>
      <c r="Q135" s="17"/>
      <c r="R135" s="4"/>
      <c r="S135" s="39"/>
      <c r="T135" s="4"/>
      <c r="U135" s="4"/>
      <c r="V135" s="4"/>
      <c r="W135" s="4"/>
      <c r="X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8"/>
      <c r="O136" s="4"/>
      <c r="P136" s="38"/>
      <c r="Q136" s="17"/>
      <c r="R136" s="4"/>
      <c r="S136" s="39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8"/>
      <c r="O137" s="4"/>
      <c r="P137" s="38"/>
      <c r="Q137" s="17"/>
      <c r="R137" s="4"/>
      <c r="S137" s="39"/>
      <c r="T137" s="4"/>
      <c r="U137" s="4"/>
      <c r="V137" s="4"/>
      <c r="W137" s="4"/>
      <c r="X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8"/>
      <c r="O138" s="4"/>
      <c r="P138" s="38"/>
      <c r="Q138" s="17"/>
      <c r="R138" s="4"/>
      <c r="S138" s="39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8"/>
      <c r="O139" s="4"/>
      <c r="P139" s="38"/>
      <c r="Q139" s="17"/>
      <c r="R139" s="4"/>
      <c r="S139" s="39"/>
      <c r="T139" s="4"/>
      <c r="U139" s="4"/>
      <c r="V139" s="4"/>
      <c r="W139" s="4"/>
      <c r="X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8"/>
      <c r="O140" s="4"/>
      <c r="P140" s="38"/>
      <c r="Q140" s="17"/>
      <c r="R140" s="4"/>
      <c r="S140" s="39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8"/>
      <c r="O141" s="4"/>
      <c r="P141" s="38"/>
      <c r="Q141" s="17"/>
      <c r="R141" s="4"/>
      <c r="S141" s="39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8"/>
      <c r="O142" s="4"/>
      <c r="P142" s="38"/>
      <c r="Q142" s="17"/>
      <c r="R142" s="4"/>
      <c r="S142" s="39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8"/>
      <c r="O143" s="4"/>
      <c r="P143" s="38"/>
      <c r="Q143" s="17"/>
      <c r="R143" s="4"/>
      <c r="S143" s="39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8"/>
      <c r="O144" s="4"/>
      <c r="P144" s="38"/>
      <c r="Q144" s="17"/>
      <c r="R144" s="4"/>
      <c r="S144" s="39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8"/>
      <c r="O145" s="4"/>
      <c r="P145" s="38"/>
      <c r="Q145" s="17"/>
      <c r="R145" s="4"/>
      <c r="S145" s="39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8"/>
      <c r="O146" s="4"/>
      <c r="P146" s="38"/>
      <c r="Q146" s="17"/>
      <c r="R146" s="4"/>
      <c r="S146" s="39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8"/>
      <c r="O147" s="4"/>
      <c r="P147" s="38"/>
      <c r="Q147" s="17"/>
      <c r="R147" s="4"/>
      <c r="S147" s="39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8"/>
      <c r="O148" s="4"/>
      <c r="P148" s="38"/>
      <c r="Q148" s="17"/>
      <c r="R148" s="4"/>
      <c r="S148" s="39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8"/>
      <c r="O149" s="4"/>
      <c r="P149" s="38"/>
      <c r="Q149" s="17"/>
      <c r="R149" s="4"/>
      <c r="S149" s="39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8"/>
      <c r="O150" s="4"/>
      <c r="P150" s="38"/>
      <c r="Q150" s="17"/>
      <c r="R150" s="4"/>
      <c r="S150" s="39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8"/>
      <c r="O151" s="4"/>
      <c r="P151" s="38"/>
      <c r="Q151" s="17"/>
      <c r="R151" s="4"/>
      <c r="S151" s="39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8"/>
      <c r="O152" s="4"/>
      <c r="P152" s="38"/>
      <c r="Q152" s="17"/>
      <c r="R152" s="4"/>
      <c r="S152" s="39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8"/>
      <c r="O153" s="4"/>
      <c r="P153" s="38"/>
      <c r="Q153" s="17"/>
      <c r="R153" s="4"/>
      <c r="S153" s="39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8"/>
      <c r="O154" s="4"/>
      <c r="P154" s="38"/>
      <c r="Q154" s="17"/>
      <c r="R154" s="4"/>
      <c r="S154" s="39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8"/>
      <c r="O155" s="4"/>
      <c r="P155" s="38"/>
      <c r="Q155" s="17"/>
      <c r="R155" s="4"/>
      <c r="S155" s="39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8"/>
      <c r="O156" s="4"/>
      <c r="P156" s="38"/>
      <c r="Q156" s="17"/>
      <c r="R156" s="4"/>
      <c r="S156" s="39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8"/>
      <c r="O157" s="4"/>
      <c r="P157" s="38"/>
      <c r="Q157" s="17"/>
      <c r="R157" s="4"/>
      <c r="S157" s="39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8"/>
      <c r="O158" s="4"/>
      <c r="P158" s="38"/>
      <c r="Q158" s="17"/>
      <c r="R158" s="4"/>
      <c r="S158" s="39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8"/>
      <c r="O159" s="4"/>
      <c r="P159" s="38"/>
      <c r="Q159" s="17"/>
      <c r="R159" s="4"/>
      <c r="S159" s="39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8"/>
      <c r="O160" s="4"/>
      <c r="P160" s="38"/>
      <c r="Q160" s="17"/>
      <c r="R160" s="4"/>
      <c r="S160" s="39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8"/>
      <c r="O161" s="4"/>
      <c r="P161" s="38"/>
      <c r="Q161" s="17"/>
      <c r="R161" s="4"/>
      <c r="S161" s="39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8"/>
      <c r="O162" s="4"/>
      <c r="P162" s="38"/>
      <c r="Q162" s="17"/>
      <c r="R162" s="4"/>
      <c r="S162" s="39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8"/>
      <c r="O163" s="4"/>
      <c r="P163" s="38"/>
      <c r="Q163" s="17"/>
      <c r="R163" s="4"/>
      <c r="S163" s="39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8"/>
      <c r="O164" s="4"/>
      <c r="P164" s="38"/>
      <c r="Q164" s="17"/>
      <c r="R164" s="4"/>
      <c r="S164" s="39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8"/>
      <c r="O165" s="4"/>
      <c r="P165" s="38"/>
      <c r="Q165" s="17"/>
      <c r="R165" s="4"/>
      <c r="S165" s="39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8"/>
      <c r="O166" s="4"/>
      <c r="P166" s="38"/>
      <c r="Q166" s="17"/>
      <c r="R166" s="4"/>
      <c r="S166" s="39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8"/>
      <c r="O167" s="4"/>
      <c r="P167" s="38"/>
      <c r="Q167" s="17"/>
      <c r="R167" s="4"/>
      <c r="S167" s="39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8"/>
      <c r="O168" s="4"/>
      <c r="P168" s="38"/>
      <c r="Q168" s="17"/>
      <c r="R168" s="4"/>
      <c r="S168" s="39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8"/>
      <c r="O169" s="4"/>
      <c r="P169" s="38"/>
      <c r="Q169" s="17"/>
      <c r="R169" s="4"/>
      <c r="S169" s="39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8"/>
      <c r="O170" s="4"/>
      <c r="P170" s="38"/>
      <c r="Q170" s="17"/>
      <c r="R170" s="4"/>
      <c r="S170" s="39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8"/>
      <c r="O171" s="4"/>
      <c r="P171" s="38"/>
      <c r="Q171" s="17"/>
      <c r="R171" s="4"/>
      <c r="S171" s="39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8"/>
      <c r="O172" s="4"/>
      <c r="P172" s="38"/>
      <c r="Q172" s="17"/>
      <c r="R172" s="4"/>
      <c r="S172" s="39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8"/>
      <c r="O173" s="4"/>
      <c r="P173" s="38"/>
      <c r="Q173" s="17"/>
      <c r="R173" s="4"/>
      <c r="S173" s="39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8"/>
      <c r="O174" s="4"/>
      <c r="P174" s="38"/>
      <c r="Q174" s="17"/>
      <c r="R174" s="4"/>
      <c r="S174" s="39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8"/>
      <c r="O175" s="4"/>
      <c r="P175" s="38"/>
      <c r="Q175" s="17"/>
      <c r="R175" s="4"/>
      <c r="S175" s="39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8"/>
      <c r="O176" s="4"/>
      <c r="P176" s="38"/>
      <c r="Q176" s="17"/>
      <c r="R176" s="4"/>
      <c r="S176" s="39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8"/>
      <c r="O177" s="4"/>
      <c r="P177" s="38"/>
      <c r="Q177" s="17"/>
      <c r="R177" s="4"/>
      <c r="S177" s="39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8"/>
      <c r="O178" s="4"/>
      <c r="P178" s="38"/>
      <c r="Q178" s="17"/>
      <c r="R178" s="4"/>
      <c r="S178" s="39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8"/>
      <c r="O179" s="4"/>
      <c r="P179" s="38"/>
      <c r="Q179" s="17"/>
      <c r="R179" s="4"/>
      <c r="S179" s="39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8"/>
      <c r="O180" s="4"/>
      <c r="P180" s="38"/>
      <c r="Q180" s="17"/>
      <c r="R180" s="4"/>
      <c r="S180" s="39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8"/>
      <c r="O181" s="4"/>
      <c r="P181" s="38"/>
      <c r="Q181" s="17"/>
      <c r="R181" s="4"/>
      <c r="S181" s="39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8"/>
      <c r="O182" s="4"/>
      <c r="P182" s="38"/>
      <c r="Q182" s="17"/>
      <c r="R182" s="4"/>
      <c r="S182" s="39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8"/>
      <c r="O183" s="4"/>
      <c r="P183" s="38"/>
      <c r="Q183" s="17"/>
      <c r="R183" s="4"/>
      <c r="S183" s="39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8"/>
      <c r="O184" s="4"/>
      <c r="P184" s="38"/>
      <c r="Q184" s="17"/>
      <c r="R184" s="4"/>
      <c r="S184" s="39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8"/>
      <c r="O185" s="4"/>
      <c r="P185" s="38"/>
      <c r="Q185" s="17"/>
      <c r="R185" s="4"/>
      <c r="S185" s="39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8"/>
      <c r="O186" s="4"/>
      <c r="P186" s="38"/>
      <c r="Q186" s="17"/>
      <c r="R186" s="4"/>
      <c r="S186" s="39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8"/>
      <c r="O187" s="4"/>
      <c r="P187" s="38"/>
      <c r="Q187" s="17"/>
      <c r="R187" s="4"/>
      <c r="S187" s="39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8"/>
      <c r="O188" s="4"/>
      <c r="P188" s="38"/>
      <c r="Q188" s="17"/>
      <c r="R188" s="4"/>
      <c r="S188" s="39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8"/>
      <c r="O189" s="4"/>
      <c r="P189" s="38"/>
      <c r="Q189" s="17"/>
      <c r="R189" s="4"/>
      <c r="S189" s="39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8"/>
      <c r="O190" s="4"/>
      <c r="P190" s="38"/>
      <c r="Q190" s="17"/>
      <c r="R190" s="4"/>
      <c r="S190" s="39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8"/>
      <c r="O191" s="4"/>
      <c r="P191" s="38"/>
      <c r="Q191" s="17"/>
      <c r="R191" s="4"/>
      <c r="S191" s="39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8"/>
      <c r="O192" s="4"/>
      <c r="P192" s="38"/>
      <c r="Q192" s="17"/>
      <c r="R192" s="4"/>
      <c r="S192" s="39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8"/>
      <c r="O193" s="4"/>
      <c r="P193" s="38"/>
      <c r="Q193" s="17"/>
      <c r="R193" s="4"/>
      <c r="S193" s="39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8"/>
      <c r="O194" s="4"/>
      <c r="P194" s="38"/>
      <c r="Q194" s="17"/>
      <c r="R194" s="4"/>
      <c r="S194" s="39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8"/>
      <c r="O195" s="4"/>
      <c r="P195" s="38"/>
      <c r="Q195" s="17"/>
      <c r="R195" s="4"/>
      <c r="S195" s="39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8"/>
      <c r="O196" s="4"/>
      <c r="P196" s="38"/>
      <c r="Q196" s="17"/>
      <c r="R196" s="4"/>
      <c r="S196" s="39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8"/>
      <c r="O197" s="4"/>
      <c r="P197" s="38"/>
      <c r="Q197" s="17"/>
      <c r="R197" s="4"/>
      <c r="S197" s="39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8"/>
      <c r="O198" s="4"/>
      <c r="P198" s="38"/>
      <c r="Q198" s="17"/>
      <c r="R198" s="4"/>
      <c r="S198" s="39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8"/>
      <c r="O199" s="4"/>
      <c r="P199" s="38"/>
      <c r="Q199" s="17"/>
      <c r="R199" s="4"/>
      <c r="S199" s="39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8"/>
      <c r="O200" s="4"/>
      <c r="P200" s="38"/>
      <c r="Q200" s="17"/>
      <c r="R200" s="4"/>
      <c r="S200" s="39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8"/>
      <c r="O201" s="4"/>
      <c r="P201" s="38"/>
      <c r="Q201" s="17"/>
      <c r="R201" s="4"/>
      <c r="S201" s="39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8"/>
      <c r="O202" s="4"/>
      <c r="P202" s="38"/>
      <c r="Q202" s="17"/>
      <c r="R202" s="4"/>
      <c r="S202" s="39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8"/>
      <c r="O203" s="4"/>
      <c r="P203" s="38"/>
      <c r="Q203" s="17"/>
      <c r="R203" s="4"/>
      <c r="S203" s="39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8"/>
      <c r="O204" s="4"/>
      <c r="P204" s="38"/>
      <c r="Q204" s="17"/>
      <c r="R204" s="4"/>
      <c r="S204" s="39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8"/>
      <c r="O205" s="4"/>
      <c r="P205" s="38"/>
      <c r="Q205" s="17"/>
      <c r="R205" s="4"/>
      <c r="S205" s="39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8"/>
      <c r="O206" s="4"/>
      <c r="P206" s="38"/>
      <c r="Q206" s="17"/>
      <c r="R206" s="4"/>
      <c r="S206" s="39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8"/>
      <c r="O207" s="4"/>
      <c r="P207" s="38"/>
      <c r="Q207" s="17"/>
      <c r="R207" s="4"/>
      <c r="S207" s="39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8"/>
      <c r="O208" s="4"/>
      <c r="P208" s="38"/>
      <c r="Q208" s="17"/>
      <c r="R208" s="4"/>
      <c r="S208" s="39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8"/>
      <c r="O209" s="4"/>
      <c r="P209" s="38"/>
      <c r="Q209" s="17"/>
      <c r="R209" s="4"/>
      <c r="S209" s="39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8"/>
      <c r="O210" s="4"/>
      <c r="P210" s="38"/>
      <c r="Q210" s="17"/>
      <c r="R210" s="4"/>
      <c r="S210" s="39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8"/>
      <c r="O211" s="4"/>
      <c r="P211" s="38"/>
      <c r="Q211" s="17"/>
      <c r="R211" s="4"/>
      <c r="S211" s="39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8"/>
      <c r="O212" s="4"/>
      <c r="P212" s="38"/>
      <c r="Q212" s="17"/>
      <c r="R212" s="4"/>
      <c r="S212" s="39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8"/>
      <c r="O213" s="4"/>
      <c r="P213" s="38"/>
      <c r="Q213" s="17"/>
      <c r="R213" s="4"/>
      <c r="S213" s="39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8"/>
      <c r="O214" s="4"/>
      <c r="P214" s="38"/>
      <c r="Q214" s="17"/>
      <c r="R214" s="4"/>
      <c r="S214" s="39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8"/>
      <c r="O215" s="4"/>
      <c r="P215" s="38"/>
      <c r="Q215" s="17"/>
      <c r="R215" s="4"/>
      <c r="S215" s="39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8"/>
      <c r="O216" s="4"/>
      <c r="P216" s="38"/>
      <c r="Q216" s="17"/>
      <c r="R216" s="4"/>
      <c r="S216" s="39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8"/>
      <c r="O217" s="4"/>
      <c r="P217" s="38"/>
      <c r="Q217" s="17"/>
      <c r="R217" s="4"/>
      <c r="S217" s="39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8"/>
      <c r="O218" s="4"/>
      <c r="P218" s="38"/>
      <c r="Q218" s="17"/>
      <c r="R218" s="4"/>
      <c r="S218" s="39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8"/>
      <c r="O219" s="4"/>
      <c r="P219" s="38"/>
      <c r="Q219" s="17"/>
      <c r="R219" s="4"/>
      <c r="S219" s="39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8"/>
      <c r="O220" s="4"/>
      <c r="P220" s="38"/>
      <c r="Q220" s="17"/>
      <c r="R220" s="4"/>
      <c r="S220" s="39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8"/>
      <c r="O221" s="4"/>
      <c r="P221" s="38"/>
      <c r="Q221" s="17"/>
      <c r="R221" s="4"/>
      <c r="S221" s="39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8"/>
      <c r="O222" s="4"/>
      <c r="P222" s="38"/>
      <c r="Q222" s="17"/>
      <c r="R222" s="4"/>
      <c r="S222" s="39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8"/>
      <c r="O223" s="4"/>
      <c r="P223" s="38"/>
      <c r="Q223" s="17"/>
      <c r="R223" s="4"/>
      <c r="S223" s="39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8"/>
      <c r="O224" s="4"/>
      <c r="P224" s="38"/>
      <c r="Q224" s="17"/>
      <c r="R224" s="4"/>
      <c r="S224" s="39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8"/>
      <c r="O225" s="4"/>
      <c r="P225" s="38"/>
      <c r="Q225" s="17"/>
      <c r="R225" s="4"/>
      <c r="S225" s="39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8"/>
      <c r="O226" s="4"/>
      <c r="P226" s="38"/>
      <c r="Q226" s="17"/>
      <c r="R226" s="4"/>
      <c r="S226" s="39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8"/>
      <c r="O227" s="4"/>
      <c r="P227" s="38"/>
      <c r="Q227" s="17"/>
      <c r="R227" s="4"/>
      <c r="S227" s="39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8"/>
      <c r="O228" s="4"/>
      <c r="P228" s="38"/>
      <c r="Q228" s="17"/>
      <c r="R228" s="4"/>
      <c r="S228" s="39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8"/>
      <c r="O229" s="4"/>
      <c r="P229" s="38"/>
      <c r="Q229" s="17"/>
      <c r="R229" s="4"/>
      <c r="S229" s="39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8"/>
      <c r="O230" s="4"/>
      <c r="P230" s="38"/>
      <c r="Q230" s="17"/>
      <c r="R230" s="4"/>
      <c r="S230" s="39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8"/>
      <c r="O231" s="4"/>
      <c r="P231" s="38"/>
      <c r="Q231" s="17"/>
      <c r="R231" s="4"/>
      <c r="S231" s="39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8"/>
      <c r="O232" s="4"/>
      <c r="P232" s="38"/>
      <c r="Q232" s="17"/>
      <c r="R232" s="4"/>
      <c r="S232" s="39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8"/>
      <c r="O233" s="4"/>
      <c r="P233" s="38"/>
      <c r="Q233" s="17"/>
      <c r="R233" s="4"/>
      <c r="S233" s="39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8"/>
      <c r="O234" s="4"/>
      <c r="P234" s="38"/>
      <c r="Q234" s="17"/>
      <c r="R234" s="4"/>
      <c r="S234" s="39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8"/>
      <c r="O235" s="4"/>
      <c r="P235" s="38"/>
      <c r="Q235" s="17"/>
      <c r="R235" s="4"/>
      <c r="S235" s="39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8"/>
      <c r="O236" s="4"/>
      <c r="P236" s="38"/>
      <c r="Q236" s="17"/>
      <c r="R236" s="4"/>
      <c r="S236" s="39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8"/>
      <c r="O237" s="4"/>
      <c r="P237" s="38"/>
      <c r="Q237" s="17"/>
      <c r="R237" s="4"/>
      <c r="S237" s="39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8"/>
      <c r="O238" s="4"/>
      <c r="P238" s="38"/>
      <c r="Q238" s="17"/>
      <c r="R238" s="4"/>
      <c r="S238" s="39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8"/>
      <c r="O239" s="4"/>
      <c r="P239" s="38"/>
      <c r="Q239" s="17"/>
      <c r="R239" s="4"/>
      <c r="S239" s="39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8"/>
      <c r="O240" s="4"/>
      <c r="P240" s="38"/>
      <c r="Q240" s="17"/>
      <c r="R240" s="4"/>
      <c r="S240" s="39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8"/>
      <c r="O241" s="4"/>
      <c r="P241" s="38"/>
      <c r="Q241" s="17"/>
      <c r="R241" s="4"/>
      <c r="S241" s="39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8"/>
      <c r="O242" s="4"/>
      <c r="P242" s="38"/>
      <c r="Q242" s="17"/>
      <c r="R242" s="4"/>
      <c r="S242" s="39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8"/>
      <c r="O243" s="4"/>
      <c r="P243" s="38"/>
      <c r="Q243" s="17"/>
      <c r="R243" s="4"/>
      <c r="S243" s="39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8"/>
      <c r="O244" s="4"/>
      <c r="P244" s="38"/>
      <c r="Q244" s="17"/>
      <c r="R244" s="4"/>
      <c r="S244" s="39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8"/>
      <c r="O245" s="4"/>
      <c r="P245" s="38"/>
      <c r="Q245" s="17"/>
      <c r="R245" s="4"/>
      <c r="S245" s="39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8"/>
      <c r="O246" s="4"/>
      <c r="P246" s="38"/>
      <c r="Q246" s="17"/>
      <c r="R246" s="4"/>
      <c r="S246" s="39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8"/>
      <c r="O247" s="4"/>
      <c r="P247" s="38"/>
      <c r="Q247" s="17"/>
      <c r="R247" s="4"/>
      <c r="S247" s="39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8"/>
      <c r="O248" s="4"/>
      <c r="P248" s="38"/>
      <c r="Q248" s="17"/>
      <c r="R248" s="4"/>
      <c r="S248" s="39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8"/>
      <c r="O249" s="4"/>
      <c r="P249" s="38"/>
      <c r="Q249" s="17"/>
      <c r="R249" s="4"/>
      <c r="S249" s="39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8"/>
      <c r="O250" s="4"/>
      <c r="P250" s="38"/>
      <c r="Q250" s="17"/>
      <c r="R250" s="4"/>
      <c r="S250" s="39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8"/>
      <c r="O251" s="4"/>
      <c r="P251" s="38"/>
      <c r="Q251" s="17"/>
      <c r="R251" s="4"/>
      <c r="S251" s="39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8"/>
      <c r="O252" s="4"/>
      <c r="P252" s="38"/>
      <c r="Q252" s="17"/>
      <c r="R252" s="4"/>
      <c r="S252" s="39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8"/>
      <c r="O253" s="4"/>
      <c r="P253" s="38"/>
      <c r="Q253" s="17"/>
      <c r="R253" s="4"/>
      <c r="S253" s="39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8"/>
      <c r="O254" s="4"/>
      <c r="P254" s="38"/>
      <c r="Q254" s="17"/>
      <c r="R254" s="4"/>
      <c r="S254" s="39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8"/>
      <c r="O255" s="4"/>
      <c r="P255" s="38"/>
      <c r="Q255" s="17"/>
      <c r="R255" s="4"/>
      <c r="S255" s="39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8"/>
      <c r="O256" s="4"/>
      <c r="P256" s="38"/>
      <c r="Q256" s="17"/>
      <c r="R256" s="4"/>
      <c r="S256" s="39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8"/>
      <c r="O257" s="4"/>
      <c r="P257" s="38"/>
      <c r="Q257" s="17"/>
      <c r="R257" s="4"/>
      <c r="S257" s="39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8"/>
      <c r="O258" s="4"/>
      <c r="P258" s="38"/>
      <c r="Q258" s="17"/>
      <c r="R258" s="4"/>
      <c r="S258" s="39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8"/>
      <c r="O259" s="4"/>
      <c r="P259" s="38"/>
      <c r="Q259" s="17"/>
      <c r="R259" s="4"/>
      <c r="S259" s="39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8"/>
      <c r="O260" s="4"/>
      <c r="P260" s="38"/>
      <c r="Q260" s="17"/>
      <c r="R260" s="4"/>
      <c r="S260" s="39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8"/>
      <c r="O261" s="4"/>
      <c r="P261" s="38"/>
      <c r="Q261" s="17"/>
      <c r="R261" s="4"/>
      <c r="S261" s="39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8"/>
      <c r="O262" s="4"/>
      <c r="P262" s="38"/>
      <c r="Q262" s="17"/>
      <c r="R262" s="4"/>
      <c r="S262" s="39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8"/>
      <c r="O263" s="4"/>
      <c r="P263" s="38"/>
      <c r="Q263" s="17"/>
      <c r="R263" s="4"/>
      <c r="S263" s="39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8"/>
      <c r="O264" s="4"/>
      <c r="P264" s="38"/>
      <c r="Q264" s="17"/>
      <c r="R264" s="4"/>
      <c r="S264" s="39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8"/>
      <c r="O265" s="4"/>
      <c r="P265" s="38"/>
      <c r="Q265" s="17"/>
      <c r="R265" s="4"/>
      <c r="S265" s="39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8"/>
      <c r="O266" s="4"/>
      <c r="P266" s="38"/>
      <c r="Q266" s="17"/>
      <c r="R266" s="4"/>
      <c r="S266" s="39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8"/>
      <c r="O267" s="4"/>
      <c r="P267" s="38"/>
      <c r="Q267" s="17"/>
      <c r="R267" s="4"/>
      <c r="S267" s="39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8"/>
      <c r="O268" s="4"/>
      <c r="P268" s="38"/>
      <c r="Q268" s="17"/>
      <c r="R268" s="4"/>
      <c r="S268" s="39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8"/>
      <c r="O269" s="4"/>
      <c r="P269" s="38"/>
      <c r="Q269" s="17"/>
      <c r="R269" s="4"/>
      <c r="S269" s="39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8"/>
      <c r="O270" s="4"/>
      <c r="P270" s="38"/>
      <c r="Q270" s="17"/>
      <c r="R270" s="4"/>
      <c r="S270" s="39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8"/>
      <c r="O271" s="4"/>
      <c r="P271" s="38"/>
      <c r="Q271" s="17"/>
      <c r="R271" s="4"/>
      <c r="S271" s="39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8"/>
      <c r="O272" s="4"/>
      <c r="P272" s="38"/>
      <c r="Q272" s="17"/>
      <c r="R272" s="4"/>
      <c r="S272" s="39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8"/>
      <c r="O273" s="4"/>
      <c r="P273" s="38"/>
      <c r="Q273" s="17"/>
      <c r="R273" s="4"/>
      <c r="S273" s="39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8"/>
      <c r="O274" s="4"/>
      <c r="P274" s="38"/>
      <c r="Q274" s="17"/>
      <c r="R274" s="4"/>
      <c r="S274" s="39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8"/>
      <c r="O275" s="4"/>
      <c r="P275" s="38"/>
      <c r="Q275" s="17"/>
      <c r="R275" s="4"/>
      <c r="S275" s="39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8"/>
      <c r="O276" s="4"/>
      <c r="P276" s="38"/>
      <c r="Q276" s="17"/>
      <c r="R276" s="4"/>
      <c r="S276" s="39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8"/>
      <c r="O277" s="4"/>
      <c r="P277" s="38"/>
      <c r="Q277" s="17"/>
      <c r="R277" s="4"/>
      <c r="S277" s="39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8"/>
      <c r="O278" s="4"/>
      <c r="P278" s="38"/>
      <c r="Q278" s="17"/>
      <c r="R278" s="4"/>
      <c r="S278" s="39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8"/>
      <c r="O279" s="4"/>
      <c r="P279" s="38"/>
      <c r="Q279" s="17"/>
      <c r="R279" s="4"/>
      <c r="S279" s="39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8"/>
      <c r="O280" s="4"/>
      <c r="P280" s="38"/>
      <c r="Q280" s="17"/>
      <c r="R280" s="4"/>
      <c r="S280" s="39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8"/>
      <c r="O281" s="4"/>
      <c r="P281" s="38"/>
      <c r="Q281" s="17"/>
      <c r="R281" s="4"/>
      <c r="S281" s="39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8"/>
      <c r="O282" s="4"/>
      <c r="P282" s="38"/>
      <c r="Q282" s="17"/>
      <c r="R282" s="4"/>
      <c r="S282" s="39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8"/>
      <c r="O283" s="4"/>
      <c r="P283" s="38"/>
      <c r="Q283" s="17"/>
      <c r="R283" s="4"/>
      <c r="S283" s="39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8"/>
      <c r="O284" s="4"/>
      <c r="P284" s="38"/>
      <c r="Q284" s="17"/>
      <c r="R284" s="4"/>
      <c r="S284" s="39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8"/>
      <c r="O285" s="4"/>
      <c r="P285" s="38"/>
      <c r="Q285" s="17"/>
      <c r="R285" s="4"/>
      <c r="S285" s="39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8"/>
      <c r="O286" s="4"/>
      <c r="P286" s="38"/>
      <c r="Q286" s="17"/>
      <c r="R286" s="4"/>
      <c r="S286" s="39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8"/>
      <c r="O287" s="4"/>
      <c r="P287" s="38"/>
      <c r="Q287" s="17"/>
      <c r="R287" s="4"/>
      <c r="S287" s="39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8"/>
      <c r="O288" s="4"/>
      <c r="P288" s="38"/>
      <c r="Q288" s="17"/>
      <c r="R288" s="4"/>
      <c r="S288" s="39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8"/>
      <c r="O289" s="4"/>
      <c r="P289" s="38"/>
      <c r="Q289" s="17"/>
      <c r="R289" s="4"/>
      <c r="S289" s="39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8"/>
      <c r="O290" s="4"/>
      <c r="P290" s="38"/>
      <c r="Q290" s="17"/>
      <c r="R290" s="4"/>
      <c r="S290" s="39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8"/>
      <c r="O291" s="4"/>
      <c r="P291" s="38"/>
      <c r="Q291" s="17"/>
      <c r="R291" s="4"/>
      <c r="S291" s="39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8"/>
      <c r="O292" s="4"/>
      <c r="P292" s="38"/>
      <c r="Q292" s="17"/>
      <c r="R292" s="4"/>
      <c r="S292" s="39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8"/>
      <c r="O293" s="4"/>
      <c r="P293" s="38"/>
      <c r="Q293" s="17"/>
      <c r="R293" s="4"/>
      <c r="S293" s="39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8"/>
      <c r="O294" s="4"/>
      <c r="P294" s="38"/>
      <c r="Q294" s="17"/>
      <c r="R294" s="4"/>
      <c r="S294" s="39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8"/>
      <c r="O295" s="4"/>
      <c r="P295" s="38"/>
      <c r="Q295" s="17"/>
      <c r="R295" s="4"/>
      <c r="S295" s="39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8"/>
      <c r="O296" s="4"/>
      <c r="P296" s="38"/>
      <c r="Q296" s="17"/>
      <c r="R296" s="4"/>
      <c r="S296" s="39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8"/>
      <c r="O297" s="4"/>
      <c r="P297" s="38"/>
      <c r="Q297" s="17"/>
      <c r="R297" s="4"/>
      <c r="S297" s="39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8"/>
      <c r="O298" s="4"/>
      <c r="P298" s="38"/>
      <c r="Q298" s="17"/>
      <c r="R298" s="4"/>
      <c r="S298" s="39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8"/>
      <c r="O299" s="4"/>
      <c r="P299" s="38"/>
      <c r="Q299" s="17"/>
      <c r="R299" s="4"/>
      <c r="S299" s="39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8"/>
      <c r="O300" s="4"/>
      <c r="P300" s="38"/>
      <c r="Q300" s="17"/>
      <c r="R300" s="4"/>
      <c r="S300" s="39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8"/>
      <c r="O301" s="4"/>
      <c r="P301" s="38"/>
      <c r="Q301" s="17"/>
      <c r="R301" s="4"/>
      <c r="S301" s="39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8"/>
      <c r="O302" s="4"/>
      <c r="P302" s="38"/>
      <c r="Q302" s="17"/>
      <c r="R302" s="4"/>
      <c r="S302" s="39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8"/>
      <c r="O303" s="4"/>
      <c r="P303" s="38"/>
      <c r="Q303" s="17"/>
      <c r="R303" s="4"/>
      <c r="S303" s="39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8"/>
      <c r="O304" s="4"/>
      <c r="P304" s="38"/>
      <c r="Q304" s="17"/>
      <c r="R304" s="4"/>
      <c r="S304" s="39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8"/>
      <c r="O305" s="4"/>
      <c r="P305" s="38"/>
      <c r="Q305" s="17"/>
      <c r="R305" s="4"/>
      <c r="S305" s="39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8"/>
      <c r="O306" s="4"/>
      <c r="P306" s="38"/>
      <c r="Q306" s="17"/>
      <c r="R306" s="4"/>
      <c r="S306" s="39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8"/>
      <c r="O307" s="4"/>
      <c r="P307" s="38"/>
      <c r="Q307" s="17"/>
      <c r="R307" s="4"/>
      <c r="S307" s="39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8"/>
      <c r="O308" s="4"/>
      <c r="P308" s="38"/>
      <c r="Q308" s="17"/>
      <c r="R308" s="4"/>
      <c r="S308" s="39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8"/>
      <c r="O309" s="4"/>
      <c r="P309" s="38"/>
      <c r="Q309" s="17"/>
      <c r="R309" s="4"/>
      <c r="S309" s="39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8"/>
      <c r="O310" s="4"/>
      <c r="P310" s="38"/>
      <c r="Q310" s="17"/>
      <c r="R310" s="4"/>
      <c r="S310" s="39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8"/>
      <c r="O311" s="4"/>
      <c r="P311" s="38"/>
      <c r="Q311" s="17"/>
      <c r="R311" s="4"/>
      <c r="S311" s="39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8"/>
      <c r="O312" s="4"/>
      <c r="P312" s="38"/>
      <c r="Q312" s="17"/>
      <c r="R312" s="4"/>
      <c r="S312" s="39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8"/>
      <c r="O313" s="4"/>
      <c r="P313" s="38"/>
      <c r="Q313" s="17"/>
      <c r="R313" s="4"/>
      <c r="S313" s="39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8"/>
      <c r="O314" s="4"/>
      <c r="P314" s="38"/>
      <c r="Q314" s="17"/>
      <c r="R314" s="4"/>
      <c r="S314" s="39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8"/>
      <c r="O315" s="4"/>
      <c r="P315" s="38"/>
      <c r="Q315" s="17"/>
      <c r="R315" s="4"/>
      <c r="S315" s="39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8"/>
      <c r="O316" s="4"/>
      <c r="P316" s="38"/>
      <c r="Q316" s="17"/>
      <c r="R316" s="4"/>
      <c r="S316" s="39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8"/>
      <c r="O317" s="4"/>
      <c r="P317" s="38"/>
      <c r="Q317" s="17"/>
      <c r="R317" s="4"/>
      <c r="S317" s="39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8"/>
      <c r="O318" s="4"/>
      <c r="P318" s="38"/>
      <c r="Q318" s="17"/>
      <c r="R318" s="4"/>
      <c r="S318" s="39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8"/>
      <c r="O319" s="4"/>
      <c r="P319" s="38"/>
      <c r="Q319" s="17"/>
      <c r="R319" s="4"/>
      <c r="S319" s="39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8"/>
      <c r="O320" s="4"/>
      <c r="P320" s="38"/>
      <c r="Q320" s="17"/>
      <c r="R320" s="4"/>
      <c r="S320" s="39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8"/>
      <c r="O321" s="4"/>
      <c r="P321" s="38"/>
      <c r="Q321" s="17"/>
      <c r="R321" s="4"/>
      <c r="S321" s="39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8"/>
      <c r="O322" s="4"/>
      <c r="P322" s="38"/>
      <c r="Q322" s="17"/>
      <c r="R322" s="4"/>
      <c r="S322" s="39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8"/>
      <c r="O323" s="4"/>
      <c r="P323" s="38"/>
      <c r="Q323" s="17"/>
      <c r="R323" s="4"/>
      <c r="S323" s="39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8"/>
      <c r="O324" s="4"/>
      <c r="P324" s="38"/>
      <c r="Q324" s="17"/>
      <c r="R324" s="4"/>
      <c r="S324" s="39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8"/>
      <c r="O325" s="4"/>
      <c r="P325" s="38"/>
      <c r="Q325" s="17"/>
      <c r="R325" s="4"/>
      <c r="S325" s="39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8"/>
      <c r="O326" s="4"/>
      <c r="P326" s="38"/>
      <c r="Q326" s="17"/>
      <c r="R326" s="4"/>
      <c r="S326" s="39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8"/>
      <c r="O327" s="4"/>
      <c r="P327" s="38"/>
      <c r="Q327" s="17"/>
      <c r="R327" s="4"/>
      <c r="S327" s="39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8"/>
      <c r="O328" s="4"/>
      <c r="P328" s="38"/>
      <c r="Q328" s="17"/>
      <c r="R328" s="4"/>
      <c r="S328" s="39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8"/>
      <c r="O329" s="4"/>
      <c r="P329" s="38"/>
      <c r="Q329" s="17"/>
      <c r="R329" s="4"/>
      <c r="S329" s="39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8"/>
      <c r="O330" s="4"/>
      <c r="P330" s="38"/>
      <c r="Q330" s="17"/>
      <c r="R330" s="4"/>
      <c r="S330" s="39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8"/>
      <c r="O331" s="4"/>
      <c r="P331" s="38"/>
      <c r="Q331" s="17"/>
      <c r="R331" s="4"/>
      <c r="S331" s="39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8"/>
      <c r="O332" s="4"/>
      <c r="P332" s="38"/>
      <c r="Q332" s="17"/>
      <c r="R332" s="4"/>
      <c r="S332" s="39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8"/>
      <c r="O333" s="4"/>
      <c r="P333" s="38"/>
      <c r="Q333" s="17"/>
      <c r="R333" s="4"/>
      <c r="S333" s="39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8"/>
      <c r="O334" s="4"/>
      <c r="P334" s="38"/>
      <c r="Q334" s="17"/>
      <c r="R334" s="4"/>
      <c r="S334" s="39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8"/>
      <c r="O335" s="4"/>
      <c r="P335" s="38"/>
      <c r="Q335" s="17"/>
      <c r="R335" s="4"/>
      <c r="S335" s="39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8"/>
      <c r="O336" s="4"/>
      <c r="P336" s="38"/>
      <c r="Q336" s="17"/>
      <c r="R336" s="4"/>
      <c r="S336" s="39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8"/>
      <c r="O337" s="4"/>
      <c r="P337" s="38"/>
      <c r="Q337" s="17"/>
      <c r="R337" s="4"/>
      <c r="S337" s="39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8"/>
      <c r="O338" s="4"/>
      <c r="P338" s="38"/>
      <c r="Q338" s="17"/>
      <c r="R338" s="4"/>
      <c r="S338" s="39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8"/>
      <c r="O339" s="4"/>
      <c r="P339" s="38"/>
      <c r="Q339" s="17"/>
      <c r="R339" s="4"/>
      <c r="S339" s="39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8"/>
      <c r="O340" s="4"/>
      <c r="P340" s="38"/>
      <c r="Q340" s="17"/>
      <c r="R340" s="4"/>
      <c r="S340" s="39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8"/>
      <c r="O341" s="4"/>
      <c r="P341" s="38"/>
      <c r="Q341" s="17"/>
      <c r="R341" s="4"/>
      <c r="S341" s="39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8"/>
      <c r="O342" s="4"/>
      <c r="P342" s="38"/>
      <c r="Q342" s="17"/>
      <c r="R342" s="4"/>
      <c r="S342" s="39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8"/>
      <c r="O343" s="4"/>
      <c r="P343" s="38"/>
      <c r="Q343" s="17"/>
      <c r="R343" s="4"/>
      <c r="S343" s="39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8"/>
      <c r="O344" s="4"/>
      <c r="P344" s="38"/>
      <c r="Q344" s="17"/>
      <c r="R344" s="4"/>
      <c r="S344" s="39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8"/>
      <c r="O345" s="4"/>
      <c r="P345" s="38"/>
      <c r="Q345" s="17"/>
      <c r="R345" s="4"/>
      <c r="S345" s="39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8"/>
      <c r="O346" s="4"/>
      <c r="P346" s="38"/>
      <c r="Q346" s="17"/>
      <c r="R346" s="4"/>
      <c r="S346" s="39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8"/>
      <c r="O347" s="4"/>
      <c r="P347" s="38"/>
      <c r="Q347" s="17"/>
      <c r="R347" s="4"/>
      <c r="S347" s="39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8"/>
      <c r="O348" s="4"/>
      <c r="P348" s="38"/>
      <c r="Q348" s="17"/>
      <c r="R348" s="4"/>
      <c r="S348" s="39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8"/>
      <c r="O349" s="4"/>
      <c r="P349" s="38"/>
      <c r="Q349" s="17"/>
      <c r="R349" s="4"/>
      <c r="S349" s="39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8"/>
      <c r="O350" s="4"/>
      <c r="P350" s="38"/>
      <c r="Q350" s="17"/>
      <c r="R350" s="4"/>
      <c r="S350" s="39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8"/>
      <c r="O351" s="4"/>
      <c r="P351" s="38"/>
      <c r="Q351" s="17"/>
      <c r="R351" s="4"/>
      <c r="S351" s="39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8"/>
      <c r="O352" s="4"/>
      <c r="P352" s="38"/>
      <c r="Q352" s="17"/>
      <c r="R352" s="4"/>
      <c r="S352" s="39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8"/>
      <c r="O353" s="4"/>
      <c r="P353" s="38"/>
      <c r="Q353" s="17"/>
      <c r="R353" s="4"/>
      <c r="S353" s="39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8"/>
      <c r="O354" s="4"/>
      <c r="P354" s="38"/>
      <c r="Q354" s="17"/>
      <c r="R354" s="4"/>
      <c r="S354" s="39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8"/>
      <c r="O355" s="4"/>
      <c r="P355" s="38"/>
      <c r="Q355" s="17"/>
      <c r="R355" s="4"/>
      <c r="S355" s="39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8"/>
      <c r="O356" s="4"/>
      <c r="P356" s="38"/>
      <c r="Q356" s="17"/>
      <c r="R356" s="4"/>
      <c r="S356" s="39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8"/>
      <c r="O357" s="4"/>
      <c r="P357" s="38"/>
      <c r="Q357" s="17"/>
      <c r="R357" s="4"/>
      <c r="S357" s="39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8"/>
      <c r="O358" s="4"/>
      <c r="P358" s="38"/>
      <c r="Q358" s="17"/>
      <c r="R358" s="4"/>
      <c r="S358" s="39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8"/>
      <c r="O359" s="4"/>
      <c r="P359" s="38"/>
      <c r="Q359" s="17"/>
      <c r="R359" s="4"/>
      <c r="S359" s="39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8"/>
      <c r="O360" s="4"/>
      <c r="P360" s="38"/>
      <c r="Q360" s="17"/>
      <c r="R360" s="4"/>
      <c r="S360" s="39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8"/>
      <c r="O361" s="4"/>
      <c r="P361" s="38"/>
      <c r="Q361" s="17"/>
      <c r="R361" s="4"/>
      <c r="S361" s="39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8"/>
      <c r="O362" s="4"/>
      <c r="P362" s="38"/>
      <c r="Q362" s="17"/>
      <c r="R362" s="4"/>
      <c r="S362" s="39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8"/>
      <c r="O363" s="4"/>
      <c r="P363" s="38"/>
      <c r="Q363" s="17"/>
      <c r="R363" s="4"/>
      <c r="S363" s="39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8"/>
      <c r="O364" s="4"/>
      <c r="P364" s="38"/>
      <c r="Q364" s="17"/>
      <c r="R364" s="4"/>
      <c r="S364" s="39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8"/>
      <c r="O365" s="4"/>
      <c r="P365" s="38"/>
      <c r="Q365" s="17"/>
      <c r="R365" s="4"/>
      <c r="S365" s="39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8"/>
      <c r="O366" s="4"/>
      <c r="P366" s="38"/>
      <c r="Q366" s="17"/>
      <c r="R366" s="4"/>
      <c r="S366" s="39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8"/>
      <c r="O367" s="4"/>
      <c r="P367" s="38"/>
      <c r="Q367" s="17"/>
      <c r="R367" s="4"/>
      <c r="S367" s="39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8"/>
      <c r="O368" s="4"/>
      <c r="P368" s="38"/>
      <c r="Q368" s="17"/>
      <c r="R368" s="4"/>
      <c r="S368" s="39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8"/>
      <c r="O369" s="4"/>
      <c r="P369" s="38"/>
      <c r="Q369" s="17"/>
      <c r="R369" s="4"/>
      <c r="S369" s="39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8"/>
      <c r="O370" s="4"/>
      <c r="P370" s="38"/>
      <c r="Q370" s="17"/>
      <c r="R370" s="4"/>
      <c r="S370" s="39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8"/>
      <c r="O371" s="4"/>
      <c r="P371" s="38"/>
      <c r="Q371" s="17"/>
      <c r="R371" s="4"/>
      <c r="S371" s="39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8"/>
      <c r="O372" s="4"/>
      <c r="P372" s="38"/>
      <c r="Q372" s="17"/>
      <c r="R372" s="4"/>
      <c r="S372" s="39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8"/>
      <c r="O373" s="4"/>
      <c r="P373" s="38"/>
      <c r="Q373" s="17"/>
      <c r="R373" s="4"/>
      <c r="S373" s="39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8"/>
      <c r="O374" s="4"/>
      <c r="P374" s="38"/>
      <c r="Q374" s="17"/>
      <c r="R374" s="4"/>
      <c r="S374" s="39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8"/>
      <c r="O375" s="4"/>
      <c r="P375" s="38"/>
      <c r="Q375" s="17"/>
      <c r="R375" s="4"/>
      <c r="S375" s="39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8"/>
      <c r="O376" s="4"/>
      <c r="P376" s="38"/>
      <c r="Q376" s="17"/>
      <c r="R376" s="4"/>
      <c r="S376" s="39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8"/>
      <c r="O377" s="4"/>
      <c r="P377" s="38"/>
      <c r="Q377" s="17"/>
      <c r="R377" s="4"/>
      <c r="S377" s="39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8"/>
      <c r="O378" s="4"/>
      <c r="P378" s="38"/>
      <c r="Q378" s="17"/>
      <c r="R378" s="4"/>
      <c r="S378" s="39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8"/>
      <c r="O379" s="4"/>
      <c r="P379" s="38"/>
      <c r="Q379" s="17"/>
      <c r="R379" s="4"/>
      <c r="S379" s="39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8"/>
      <c r="O380" s="4"/>
      <c r="P380" s="38"/>
      <c r="Q380" s="17"/>
      <c r="R380" s="4"/>
      <c r="S380" s="39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8"/>
      <c r="O381" s="4"/>
      <c r="P381" s="38"/>
      <c r="Q381" s="17"/>
      <c r="R381" s="4"/>
      <c r="S381" s="39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8"/>
      <c r="O382" s="4"/>
      <c r="P382" s="38"/>
      <c r="Q382" s="17"/>
      <c r="R382" s="4"/>
      <c r="S382" s="39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8"/>
      <c r="O383" s="4"/>
      <c r="P383" s="38"/>
      <c r="Q383" s="17"/>
      <c r="R383" s="4"/>
      <c r="S383" s="39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8"/>
      <c r="O384" s="4"/>
      <c r="P384" s="38"/>
      <c r="Q384" s="17"/>
      <c r="R384" s="4"/>
      <c r="S384" s="39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8"/>
      <c r="O385" s="4"/>
      <c r="P385" s="38"/>
      <c r="Q385" s="17"/>
      <c r="R385" s="4"/>
      <c r="S385" s="39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8"/>
      <c r="O386" s="4"/>
      <c r="P386" s="38"/>
      <c r="Q386" s="17"/>
      <c r="R386" s="4"/>
      <c r="S386" s="39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8"/>
      <c r="O387" s="4"/>
      <c r="P387" s="38"/>
      <c r="Q387" s="17"/>
      <c r="R387" s="4"/>
      <c r="S387" s="39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8"/>
      <c r="O388" s="4"/>
      <c r="P388" s="38"/>
      <c r="Q388" s="17"/>
      <c r="R388" s="4"/>
      <c r="S388" s="39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8"/>
      <c r="O389" s="4"/>
      <c r="P389" s="38"/>
      <c r="Q389" s="17"/>
      <c r="R389" s="4"/>
      <c r="S389" s="39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8"/>
      <c r="O390" s="4"/>
      <c r="P390" s="38"/>
      <c r="Q390" s="17"/>
      <c r="R390" s="4"/>
      <c r="S390" s="39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8"/>
      <c r="O391" s="4"/>
      <c r="P391" s="38"/>
      <c r="Q391" s="17"/>
      <c r="R391" s="4"/>
      <c r="S391" s="39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8"/>
      <c r="O392" s="4"/>
      <c r="P392" s="38"/>
      <c r="Q392" s="17"/>
      <c r="R392" s="4"/>
      <c r="S392" s="39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8"/>
      <c r="O393" s="4"/>
      <c r="P393" s="38"/>
      <c r="Q393" s="17"/>
      <c r="R393" s="4"/>
      <c r="S393" s="39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8"/>
      <c r="O394" s="4"/>
      <c r="P394" s="38"/>
      <c r="Q394" s="17"/>
      <c r="R394" s="4"/>
      <c r="S394" s="39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8"/>
      <c r="O395" s="4"/>
      <c r="P395" s="38"/>
      <c r="Q395" s="17"/>
      <c r="R395" s="4"/>
      <c r="S395" s="39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8"/>
      <c r="O396" s="4"/>
      <c r="P396" s="38"/>
      <c r="Q396" s="17"/>
      <c r="R396" s="4"/>
      <c r="S396" s="39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8"/>
      <c r="O397" s="4"/>
      <c r="P397" s="38"/>
      <c r="Q397" s="17"/>
      <c r="R397" s="4"/>
      <c r="S397" s="39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8"/>
      <c r="O398" s="4"/>
      <c r="P398" s="38"/>
      <c r="Q398" s="17"/>
      <c r="R398" s="4"/>
      <c r="S398" s="39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8"/>
      <c r="O399" s="4"/>
      <c r="P399" s="38"/>
      <c r="Q399" s="17"/>
      <c r="R399" s="4"/>
      <c r="S399" s="39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8"/>
      <c r="O400" s="4"/>
      <c r="P400" s="38"/>
      <c r="Q400" s="17"/>
      <c r="R400" s="4"/>
      <c r="S400" s="39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8"/>
      <c r="O401" s="4"/>
      <c r="P401" s="38"/>
      <c r="Q401" s="17"/>
      <c r="R401" s="4"/>
      <c r="S401" s="39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8"/>
      <c r="O402" s="4"/>
      <c r="P402" s="38"/>
      <c r="Q402" s="17"/>
      <c r="R402" s="4"/>
      <c r="S402" s="39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8"/>
      <c r="O403" s="4"/>
      <c r="P403" s="38"/>
      <c r="Q403" s="17"/>
      <c r="R403" s="4"/>
      <c r="S403" s="39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8"/>
      <c r="O404" s="4"/>
      <c r="P404" s="38"/>
      <c r="Q404" s="17"/>
      <c r="R404" s="4"/>
      <c r="S404" s="39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8"/>
      <c r="O405" s="4"/>
      <c r="P405" s="38"/>
      <c r="Q405" s="17"/>
      <c r="R405" s="4"/>
      <c r="S405" s="39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8"/>
      <c r="O406" s="4"/>
      <c r="P406" s="38"/>
      <c r="Q406" s="17"/>
      <c r="R406" s="4"/>
      <c r="S406" s="39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8"/>
      <c r="O407" s="4"/>
      <c r="P407" s="38"/>
      <c r="Q407" s="17"/>
      <c r="R407" s="4"/>
      <c r="S407" s="39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8"/>
      <c r="O408" s="4"/>
      <c r="P408" s="38"/>
      <c r="Q408" s="17"/>
      <c r="R408" s="4"/>
      <c r="S408" s="39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8"/>
      <c r="O409" s="4"/>
      <c r="P409" s="38"/>
      <c r="Q409" s="17"/>
      <c r="R409" s="4"/>
      <c r="S409" s="39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8"/>
      <c r="O410" s="4"/>
      <c r="P410" s="38"/>
      <c r="Q410" s="17"/>
      <c r="R410" s="4"/>
      <c r="S410" s="39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8"/>
      <c r="O411" s="4"/>
      <c r="P411" s="38"/>
      <c r="Q411" s="17"/>
      <c r="R411" s="4"/>
      <c r="S411" s="39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8"/>
      <c r="O412" s="4"/>
      <c r="P412" s="38"/>
      <c r="Q412" s="17"/>
      <c r="R412" s="4"/>
      <c r="S412" s="39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8"/>
      <c r="O413" s="4"/>
      <c r="P413" s="38"/>
      <c r="Q413" s="17"/>
      <c r="R413" s="4"/>
      <c r="S413" s="39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8"/>
      <c r="O414" s="4"/>
      <c r="P414" s="38"/>
      <c r="Q414" s="17"/>
      <c r="R414" s="4"/>
      <c r="S414" s="39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8"/>
      <c r="O415" s="4"/>
      <c r="P415" s="38"/>
      <c r="Q415" s="17"/>
      <c r="R415" s="4"/>
      <c r="S415" s="39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8"/>
      <c r="O416" s="4"/>
      <c r="P416" s="38"/>
      <c r="Q416" s="17"/>
      <c r="R416" s="4"/>
      <c r="S416" s="39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8"/>
      <c r="O417" s="4"/>
      <c r="P417" s="38"/>
      <c r="Q417" s="17"/>
      <c r="R417" s="4"/>
      <c r="S417" s="39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8"/>
      <c r="O418" s="4"/>
      <c r="P418" s="38"/>
      <c r="Q418" s="17"/>
      <c r="R418" s="4"/>
      <c r="S418" s="39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8"/>
      <c r="O419" s="4"/>
      <c r="P419" s="38"/>
      <c r="Q419" s="17"/>
      <c r="R419" s="4"/>
      <c r="S419" s="39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8"/>
      <c r="O420" s="4"/>
      <c r="P420" s="38"/>
      <c r="Q420" s="17"/>
      <c r="R420" s="4"/>
      <c r="S420" s="39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8"/>
      <c r="O421" s="4"/>
      <c r="P421" s="38"/>
      <c r="Q421" s="17"/>
      <c r="R421" s="4"/>
      <c r="S421" s="39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8"/>
      <c r="O422" s="4"/>
      <c r="P422" s="38"/>
      <c r="Q422" s="17"/>
      <c r="R422" s="4"/>
      <c r="S422" s="39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8"/>
      <c r="O423" s="4"/>
      <c r="P423" s="38"/>
      <c r="Q423" s="17"/>
      <c r="R423" s="4"/>
      <c r="S423" s="39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8"/>
      <c r="O424" s="4"/>
      <c r="P424" s="38"/>
      <c r="Q424" s="17"/>
      <c r="R424" s="4"/>
      <c r="S424" s="39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8"/>
      <c r="O425" s="4"/>
      <c r="P425" s="38"/>
      <c r="Q425" s="17"/>
      <c r="R425" s="4"/>
      <c r="S425" s="39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8"/>
      <c r="O426" s="4"/>
      <c r="P426" s="38"/>
      <c r="Q426" s="17"/>
      <c r="R426" s="4"/>
      <c r="S426" s="39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8"/>
      <c r="O427" s="4"/>
      <c r="P427" s="38"/>
      <c r="Q427" s="17"/>
      <c r="R427" s="4"/>
      <c r="S427" s="39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8"/>
      <c r="O428" s="4"/>
      <c r="P428" s="38"/>
      <c r="Q428" s="17"/>
      <c r="R428" s="4"/>
      <c r="S428" s="39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8"/>
      <c r="O429" s="4"/>
      <c r="P429" s="38"/>
      <c r="Q429" s="17"/>
      <c r="R429" s="4"/>
      <c r="S429" s="39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8"/>
      <c r="O430" s="4"/>
      <c r="P430" s="38"/>
      <c r="Q430" s="17"/>
      <c r="R430" s="4"/>
      <c r="S430" s="39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8"/>
      <c r="O431" s="4"/>
      <c r="P431" s="38"/>
      <c r="Q431" s="17"/>
      <c r="R431" s="4"/>
      <c r="S431" s="39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8"/>
      <c r="O432" s="4"/>
      <c r="P432" s="38"/>
      <c r="Q432" s="17"/>
      <c r="R432" s="4"/>
      <c r="S432" s="39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8"/>
      <c r="O433" s="4"/>
      <c r="P433" s="38"/>
      <c r="Q433" s="17"/>
      <c r="R433" s="4"/>
      <c r="S433" s="39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8"/>
      <c r="O434" s="4"/>
      <c r="P434" s="38"/>
      <c r="Q434" s="17"/>
      <c r="R434" s="4"/>
      <c r="S434" s="39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8"/>
      <c r="O435" s="4"/>
      <c r="P435" s="38"/>
      <c r="Q435" s="17"/>
      <c r="R435" s="4"/>
      <c r="S435" s="39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8"/>
      <c r="O436" s="4"/>
      <c r="P436" s="38"/>
      <c r="Q436" s="17"/>
      <c r="R436" s="4"/>
      <c r="S436" s="39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8"/>
      <c r="O437" s="4"/>
      <c r="P437" s="38"/>
      <c r="Q437" s="17"/>
      <c r="R437" s="4"/>
      <c r="S437" s="39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8"/>
      <c r="O438" s="4"/>
      <c r="P438" s="38"/>
      <c r="Q438" s="17"/>
      <c r="R438" s="4"/>
      <c r="S438" s="39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8"/>
      <c r="O439" s="4"/>
      <c r="P439" s="38"/>
      <c r="Q439" s="17"/>
      <c r="R439" s="4"/>
      <c r="S439" s="39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8"/>
      <c r="O440" s="4"/>
      <c r="P440" s="38"/>
      <c r="Q440" s="17"/>
      <c r="R440" s="4"/>
      <c r="S440" s="39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8"/>
      <c r="O441" s="4"/>
      <c r="P441" s="38"/>
      <c r="Q441" s="17"/>
      <c r="R441" s="4"/>
      <c r="S441" s="39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8"/>
      <c r="O442" s="4"/>
      <c r="P442" s="38"/>
      <c r="Q442" s="17"/>
      <c r="R442" s="4"/>
      <c r="S442" s="39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8"/>
      <c r="O443" s="4"/>
      <c r="P443" s="38"/>
      <c r="Q443" s="17"/>
      <c r="R443" s="4"/>
      <c r="S443" s="39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8"/>
      <c r="O444" s="4"/>
      <c r="P444" s="38"/>
      <c r="Q444" s="17"/>
      <c r="R444" s="4"/>
      <c r="S444" s="39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8"/>
      <c r="O445" s="4"/>
      <c r="P445" s="38"/>
      <c r="Q445" s="17"/>
      <c r="R445" s="4"/>
      <c r="S445" s="39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8"/>
      <c r="O446" s="4"/>
      <c r="P446" s="38"/>
      <c r="Q446" s="17"/>
      <c r="R446" s="4"/>
      <c r="S446" s="39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8"/>
      <c r="O447" s="4"/>
      <c r="P447" s="38"/>
      <c r="Q447" s="17"/>
      <c r="R447" s="4"/>
      <c r="S447" s="39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8"/>
      <c r="O448" s="4"/>
      <c r="P448" s="38"/>
      <c r="Q448" s="17"/>
      <c r="R448" s="4"/>
      <c r="S448" s="39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8"/>
      <c r="O449" s="4"/>
      <c r="P449" s="38"/>
      <c r="Q449" s="17"/>
      <c r="R449" s="4"/>
      <c r="S449" s="39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8"/>
      <c r="O450" s="4"/>
      <c r="P450" s="38"/>
      <c r="Q450" s="17"/>
      <c r="R450" s="4"/>
      <c r="S450" s="39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8"/>
      <c r="O451" s="4"/>
      <c r="P451" s="38"/>
      <c r="Q451" s="17"/>
      <c r="R451" s="4"/>
      <c r="S451" s="39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8"/>
      <c r="O452" s="4"/>
      <c r="P452" s="38"/>
      <c r="Q452" s="17"/>
      <c r="R452" s="4"/>
      <c r="S452" s="39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8"/>
      <c r="O453" s="4"/>
      <c r="P453" s="38"/>
      <c r="Q453" s="17"/>
      <c r="R453" s="4"/>
      <c r="S453" s="39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8"/>
      <c r="O454" s="4"/>
      <c r="P454" s="38"/>
      <c r="Q454" s="17"/>
      <c r="R454" s="4"/>
      <c r="S454" s="39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8"/>
      <c r="O455" s="4"/>
      <c r="P455" s="38"/>
      <c r="Q455" s="17"/>
      <c r="R455" s="4"/>
      <c r="S455" s="39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8"/>
      <c r="O456" s="4"/>
      <c r="P456" s="38"/>
      <c r="Q456" s="17"/>
      <c r="R456" s="4"/>
      <c r="S456" s="39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8"/>
      <c r="O457" s="4"/>
      <c r="P457" s="38"/>
      <c r="Q457" s="17"/>
      <c r="R457" s="4"/>
      <c r="S457" s="39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8"/>
      <c r="O458" s="4"/>
      <c r="P458" s="38"/>
      <c r="Q458" s="17"/>
      <c r="R458" s="4"/>
      <c r="S458" s="39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8"/>
      <c r="O459" s="4"/>
      <c r="P459" s="38"/>
      <c r="Q459" s="17"/>
      <c r="R459" s="4"/>
      <c r="S459" s="39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8"/>
      <c r="O460" s="4"/>
      <c r="P460" s="38"/>
      <c r="Q460" s="17"/>
      <c r="R460" s="4"/>
      <c r="S460" s="39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8"/>
      <c r="O461" s="4"/>
      <c r="P461" s="38"/>
      <c r="Q461" s="17"/>
      <c r="R461" s="4"/>
      <c r="S461" s="39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8"/>
      <c r="O462" s="4"/>
      <c r="P462" s="38"/>
      <c r="Q462" s="17"/>
      <c r="R462" s="4"/>
      <c r="S462" s="39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8"/>
      <c r="O463" s="4"/>
      <c r="P463" s="38"/>
      <c r="Q463" s="17"/>
      <c r="R463" s="4"/>
      <c r="S463" s="39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8"/>
      <c r="O464" s="4"/>
      <c r="P464" s="38"/>
      <c r="Q464" s="17"/>
      <c r="R464" s="4"/>
      <c r="S464" s="39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8"/>
      <c r="O465" s="4"/>
      <c r="P465" s="38"/>
      <c r="Q465" s="17"/>
      <c r="R465" s="4"/>
      <c r="S465" s="39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8"/>
      <c r="O466" s="4"/>
      <c r="P466" s="38"/>
      <c r="Q466" s="17"/>
      <c r="R466" s="4"/>
      <c r="S466" s="39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8"/>
      <c r="O467" s="4"/>
      <c r="P467" s="38"/>
      <c r="Q467" s="17"/>
      <c r="R467" s="4"/>
      <c r="S467" s="39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8"/>
      <c r="O468" s="4"/>
      <c r="P468" s="38"/>
      <c r="Q468" s="17"/>
      <c r="R468" s="4"/>
      <c r="S468" s="39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8"/>
      <c r="O469" s="4"/>
      <c r="P469" s="38"/>
      <c r="Q469" s="17"/>
      <c r="R469" s="4"/>
      <c r="S469" s="39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8"/>
      <c r="O470" s="4"/>
      <c r="P470" s="38"/>
      <c r="Q470" s="17"/>
      <c r="R470" s="4"/>
      <c r="S470" s="39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8"/>
      <c r="O471" s="4"/>
      <c r="P471" s="38"/>
      <c r="Q471" s="17"/>
      <c r="R471" s="4"/>
      <c r="S471" s="39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8"/>
      <c r="O472" s="4"/>
      <c r="P472" s="38"/>
      <c r="Q472" s="17"/>
      <c r="R472" s="4"/>
      <c r="S472" s="39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8"/>
      <c r="O473" s="4"/>
      <c r="P473" s="38"/>
      <c r="Q473" s="17"/>
      <c r="R473" s="4"/>
      <c r="S473" s="39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8"/>
      <c r="O474" s="4"/>
      <c r="P474" s="38"/>
      <c r="Q474" s="17"/>
      <c r="R474" s="4"/>
      <c r="S474" s="39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8"/>
      <c r="O475" s="4"/>
      <c r="P475" s="38"/>
      <c r="Q475" s="17"/>
      <c r="R475" s="4"/>
      <c r="S475" s="39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8"/>
      <c r="O476" s="4"/>
      <c r="P476" s="38"/>
      <c r="Q476" s="17"/>
      <c r="R476" s="4"/>
      <c r="S476" s="39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8"/>
      <c r="O477" s="4"/>
      <c r="P477" s="38"/>
      <c r="Q477" s="17"/>
      <c r="R477" s="4"/>
      <c r="S477" s="39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8"/>
      <c r="O478" s="4"/>
      <c r="P478" s="38"/>
      <c r="Q478" s="17"/>
      <c r="R478" s="4"/>
      <c r="S478" s="39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8"/>
      <c r="O479" s="4"/>
      <c r="P479" s="38"/>
      <c r="Q479" s="17"/>
      <c r="R479" s="4"/>
      <c r="S479" s="39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8"/>
      <c r="O480" s="4"/>
      <c r="P480" s="38"/>
      <c r="Q480" s="17"/>
      <c r="R480" s="4"/>
      <c r="S480" s="39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8"/>
      <c r="O481" s="4"/>
      <c r="P481" s="38"/>
      <c r="Q481" s="17"/>
      <c r="R481" s="4"/>
      <c r="S481" s="39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8"/>
      <c r="O482" s="4"/>
      <c r="P482" s="38"/>
      <c r="Q482" s="17"/>
      <c r="R482" s="4"/>
      <c r="S482" s="39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8"/>
      <c r="O483" s="4"/>
      <c r="P483" s="38"/>
      <c r="Q483" s="17"/>
      <c r="R483" s="4"/>
      <c r="S483" s="39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8"/>
      <c r="O484" s="4"/>
      <c r="P484" s="38"/>
      <c r="Q484" s="17"/>
      <c r="R484" s="4"/>
      <c r="S484" s="39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8"/>
      <c r="O485" s="4"/>
      <c r="P485" s="38"/>
      <c r="Q485" s="17"/>
      <c r="R485" s="4"/>
      <c r="S485" s="39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8"/>
      <c r="O486" s="4"/>
      <c r="P486" s="38"/>
      <c r="Q486" s="17"/>
      <c r="R486" s="4"/>
      <c r="S486" s="39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8"/>
      <c r="O487" s="4"/>
      <c r="P487" s="38"/>
      <c r="Q487" s="17"/>
      <c r="R487" s="4"/>
      <c r="S487" s="39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8"/>
      <c r="O488" s="4"/>
      <c r="P488" s="38"/>
      <c r="Q488" s="17"/>
      <c r="R488" s="4"/>
      <c r="S488" s="39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8"/>
      <c r="O489" s="4"/>
      <c r="P489" s="38"/>
      <c r="Q489" s="17"/>
      <c r="R489" s="4"/>
      <c r="S489" s="39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8"/>
      <c r="O490" s="4"/>
      <c r="P490" s="38"/>
      <c r="Q490" s="17"/>
      <c r="R490" s="4"/>
      <c r="S490" s="39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8"/>
      <c r="O491" s="4"/>
      <c r="P491" s="38"/>
      <c r="Q491" s="17"/>
      <c r="R491" s="4"/>
      <c r="S491" s="39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8"/>
      <c r="O492" s="4"/>
      <c r="P492" s="38"/>
      <c r="Q492" s="17"/>
      <c r="R492" s="4"/>
      <c r="S492" s="39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8"/>
      <c r="O493" s="4"/>
      <c r="P493" s="38"/>
      <c r="Q493" s="17"/>
      <c r="R493" s="4"/>
      <c r="S493" s="39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8"/>
      <c r="O494" s="4"/>
      <c r="P494" s="38"/>
      <c r="Q494" s="17"/>
      <c r="R494" s="4"/>
      <c r="S494" s="39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8"/>
      <c r="O495" s="4"/>
      <c r="P495" s="38"/>
      <c r="Q495" s="17"/>
      <c r="R495" s="4"/>
      <c r="S495" s="39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8"/>
      <c r="O496" s="4"/>
      <c r="P496" s="38"/>
      <c r="Q496" s="17"/>
      <c r="R496" s="4"/>
      <c r="S496" s="39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8"/>
      <c r="O497" s="4"/>
      <c r="P497" s="38"/>
      <c r="Q497" s="17"/>
      <c r="R497" s="4"/>
      <c r="S497" s="39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8"/>
      <c r="O498" s="4"/>
      <c r="P498" s="38"/>
      <c r="Q498" s="17"/>
      <c r="R498" s="4"/>
      <c r="S498" s="39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8"/>
      <c r="O499" s="4"/>
      <c r="P499" s="38"/>
      <c r="Q499" s="17"/>
      <c r="R499" s="4"/>
      <c r="S499" s="39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8"/>
      <c r="O500" s="4"/>
      <c r="P500" s="38"/>
      <c r="Q500" s="17"/>
      <c r="R500" s="4"/>
      <c r="S500" s="39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8"/>
      <c r="O501" s="4"/>
      <c r="P501" s="38"/>
      <c r="Q501" s="17"/>
      <c r="R501" s="4"/>
      <c r="S501" s="39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8"/>
      <c r="O502" s="4"/>
      <c r="P502" s="38"/>
      <c r="Q502" s="17"/>
      <c r="R502" s="4"/>
      <c r="S502" s="39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8"/>
      <c r="O503" s="4"/>
      <c r="P503" s="38"/>
      <c r="Q503" s="17"/>
      <c r="R503" s="4"/>
      <c r="S503" s="39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8"/>
      <c r="O504" s="4"/>
      <c r="P504" s="38"/>
      <c r="Q504" s="17"/>
      <c r="R504" s="4"/>
      <c r="S504" s="39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8"/>
      <c r="O505" s="4"/>
      <c r="P505" s="38"/>
      <c r="Q505" s="17"/>
      <c r="R505" s="4"/>
      <c r="S505" s="39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8"/>
      <c r="O506" s="4"/>
      <c r="P506" s="38"/>
      <c r="Q506" s="17"/>
      <c r="R506" s="4"/>
      <c r="S506" s="39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8"/>
      <c r="O507" s="4"/>
      <c r="P507" s="38"/>
      <c r="Q507" s="17"/>
      <c r="R507" s="4"/>
      <c r="S507" s="39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8"/>
      <c r="O508" s="4"/>
      <c r="P508" s="38"/>
      <c r="Q508" s="17"/>
      <c r="R508" s="4"/>
      <c r="S508" s="39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8"/>
      <c r="O509" s="4"/>
      <c r="P509" s="38"/>
      <c r="Q509" s="17"/>
      <c r="R509" s="4"/>
      <c r="S509" s="39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8"/>
      <c r="O510" s="4"/>
      <c r="P510" s="38"/>
      <c r="Q510" s="17"/>
      <c r="R510" s="4"/>
      <c r="S510" s="39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8"/>
      <c r="O511" s="4"/>
      <c r="P511" s="38"/>
      <c r="Q511" s="17"/>
      <c r="R511" s="4"/>
      <c r="S511" s="39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8"/>
      <c r="O512" s="4"/>
      <c r="P512" s="38"/>
      <c r="Q512" s="17"/>
      <c r="R512" s="4"/>
      <c r="S512" s="39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8"/>
      <c r="O513" s="4"/>
      <c r="P513" s="38"/>
      <c r="Q513" s="17"/>
      <c r="R513" s="4"/>
      <c r="S513" s="39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8"/>
      <c r="O514" s="4"/>
      <c r="P514" s="38"/>
      <c r="Q514" s="17"/>
      <c r="R514" s="4"/>
      <c r="S514" s="39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8"/>
      <c r="O515" s="4"/>
      <c r="P515" s="38"/>
      <c r="Q515" s="17"/>
      <c r="R515" s="4"/>
      <c r="S515" s="39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8"/>
      <c r="O516" s="4"/>
      <c r="P516" s="38"/>
      <c r="Q516" s="17"/>
      <c r="R516" s="4"/>
      <c r="S516" s="39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8"/>
      <c r="O517" s="4"/>
      <c r="P517" s="38"/>
      <c r="Q517" s="17"/>
      <c r="R517" s="4"/>
      <c r="S517" s="39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8"/>
      <c r="O518" s="4"/>
      <c r="P518" s="38"/>
      <c r="Q518" s="17"/>
      <c r="R518" s="4"/>
      <c r="S518" s="39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8"/>
      <c r="O519" s="4"/>
      <c r="P519" s="38"/>
      <c r="Q519" s="17"/>
      <c r="R519" s="4"/>
      <c r="S519" s="39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8"/>
      <c r="O520" s="4"/>
      <c r="P520" s="38"/>
      <c r="Q520" s="17"/>
      <c r="R520" s="4"/>
      <c r="S520" s="39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8"/>
      <c r="O521" s="4"/>
      <c r="P521" s="38"/>
      <c r="Q521" s="17"/>
      <c r="R521" s="4"/>
      <c r="S521" s="39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8"/>
      <c r="O522" s="4"/>
      <c r="P522" s="38"/>
      <c r="Q522" s="17"/>
      <c r="R522" s="4"/>
      <c r="S522" s="39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8"/>
      <c r="O523" s="4"/>
      <c r="P523" s="38"/>
      <c r="Q523" s="17"/>
      <c r="R523" s="4"/>
      <c r="S523" s="39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8"/>
      <c r="O524" s="4"/>
      <c r="P524" s="38"/>
      <c r="Q524" s="17"/>
      <c r="R524" s="4"/>
      <c r="S524" s="39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8"/>
      <c r="O525" s="4"/>
      <c r="P525" s="38"/>
      <c r="Q525" s="17"/>
      <c r="R525" s="4"/>
      <c r="S525" s="39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8"/>
      <c r="O526" s="4"/>
      <c r="P526" s="38"/>
      <c r="Q526" s="17"/>
      <c r="R526" s="4"/>
      <c r="S526" s="39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8"/>
      <c r="O527" s="4"/>
      <c r="P527" s="38"/>
      <c r="Q527" s="17"/>
      <c r="R527" s="4"/>
      <c r="S527" s="39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8"/>
      <c r="O528" s="4"/>
      <c r="P528" s="38"/>
      <c r="Q528" s="17"/>
      <c r="R528" s="4"/>
      <c r="S528" s="39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8"/>
      <c r="O529" s="4"/>
      <c r="P529" s="38"/>
      <c r="Q529" s="17"/>
      <c r="R529" s="4"/>
      <c r="S529" s="39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8"/>
      <c r="O530" s="4"/>
      <c r="P530" s="38"/>
      <c r="Q530" s="17"/>
      <c r="R530" s="4"/>
      <c r="S530" s="39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8"/>
      <c r="O531" s="4"/>
      <c r="P531" s="38"/>
      <c r="Q531" s="17"/>
      <c r="R531" s="4"/>
      <c r="S531" s="39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8"/>
      <c r="O532" s="4"/>
      <c r="P532" s="38"/>
      <c r="Q532" s="17"/>
      <c r="R532" s="4"/>
      <c r="S532" s="39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8"/>
      <c r="O533" s="4"/>
      <c r="P533" s="38"/>
      <c r="Q533" s="17"/>
      <c r="R533" s="4"/>
      <c r="S533" s="39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8"/>
      <c r="O534" s="4"/>
      <c r="P534" s="38"/>
      <c r="Q534" s="17"/>
      <c r="R534" s="4"/>
      <c r="S534" s="39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8"/>
      <c r="O535" s="4"/>
      <c r="P535" s="38"/>
      <c r="Q535" s="17"/>
      <c r="R535" s="4"/>
      <c r="S535" s="39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8"/>
      <c r="O536" s="4"/>
      <c r="P536" s="38"/>
      <c r="Q536" s="17"/>
      <c r="R536" s="4"/>
      <c r="S536" s="39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8"/>
      <c r="O537" s="4"/>
      <c r="P537" s="38"/>
      <c r="Q537" s="17"/>
      <c r="R537" s="4"/>
      <c r="S537" s="39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8"/>
      <c r="O538" s="4"/>
      <c r="P538" s="38"/>
      <c r="Q538" s="17"/>
      <c r="R538" s="4"/>
      <c r="S538" s="39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8"/>
      <c r="O539" s="4"/>
      <c r="P539" s="38"/>
      <c r="Q539" s="17"/>
      <c r="R539" s="4"/>
      <c r="S539" s="39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8"/>
      <c r="O540" s="4"/>
      <c r="P540" s="38"/>
      <c r="Q540" s="17"/>
      <c r="R540" s="4"/>
      <c r="S540" s="39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8"/>
      <c r="O541" s="4"/>
      <c r="P541" s="38"/>
      <c r="Q541" s="17"/>
      <c r="R541" s="4"/>
      <c r="S541" s="39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8"/>
      <c r="O542" s="4"/>
      <c r="P542" s="38"/>
      <c r="Q542" s="17"/>
      <c r="R542" s="4"/>
      <c r="S542" s="39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8"/>
      <c r="O543" s="4"/>
      <c r="P543" s="38"/>
      <c r="Q543" s="17"/>
      <c r="R543" s="4"/>
      <c r="S543" s="39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8"/>
      <c r="O544" s="4"/>
      <c r="P544" s="38"/>
      <c r="Q544" s="17"/>
      <c r="R544" s="4"/>
      <c r="S544" s="39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8"/>
      <c r="O545" s="4"/>
      <c r="P545" s="38"/>
      <c r="Q545" s="17"/>
      <c r="R545" s="4"/>
      <c r="S545" s="39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8"/>
      <c r="O546" s="4"/>
      <c r="P546" s="38"/>
      <c r="Q546" s="17"/>
      <c r="R546" s="4"/>
      <c r="S546" s="39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8"/>
      <c r="O547" s="4"/>
      <c r="P547" s="38"/>
      <c r="Q547" s="17"/>
      <c r="R547" s="4"/>
      <c r="S547" s="39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8"/>
      <c r="O548" s="4"/>
      <c r="P548" s="38"/>
      <c r="Q548" s="17"/>
      <c r="R548" s="4"/>
      <c r="S548" s="39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8"/>
      <c r="O549" s="4"/>
      <c r="P549" s="38"/>
      <c r="Q549" s="17"/>
      <c r="R549" s="4"/>
      <c r="S549" s="39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8"/>
      <c r="O550" s="4"/>
      <c r="P550" s="38"/>
      <c r="Q550" s="17"/>
      <c r="R550" s="4"/>
      <c r="S550" s="39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8"/>
      <c r="O551" s="4"/>
      <c r="P551" s="38"/>
      <c r="Q551" s="17"/>
      <c r="R551" s="4"/>
      <c r="S551" s="39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8"/>
      <c r="O552" s="4"/>
      <c r="P552" s="38"/>
      <c r="Q552" s="17"/>
      <c r="R552" s="4"/>
      <c r="S552" s="39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8"/>
      <c r="O553" s="4"/>
      <c r="P553" s="38"/>
      <c r="Q553" s="17"/>
      <c r="R553" s="4"/>
      <c r="S553" s="39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8"/>
      <c r="O554" s="4"/>
      <c r="P554" s="38"/>
      <c r="Q554" s="17"/>
      <c r="R554" s="4"/>
      <c r="S554" s="39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8"/>
      <c r="O555" s="4"/>
      <c r="P555" s="38"/>
      <c r="Q555" s="17"/>
      <c r="R555" s="4"/>
      <c r="S555" s="39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8"/>
      <c r="O556" s="4"/>
      <c r="P556" s="38"/>
      <c r="Q556" s="17"/>
      <c r="R556" s="4"/>
      <c r="S556" s="39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8"/>
      <c r="O557" s="4"/>
      <c r="P557" s="38"/>
      <c r="Q557" s="17"/>
      <c r="R557" s="4"/>
      <c r="S557" s="39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8"/>
      <c r="O558" s="4"/>
      <c r="P558" s="38"/>
      <c r="Q558" s="17"/>
      <c r="R558" s="4"/>
      <c r="S558" s="39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8"/>
      <c r="O559" s="4"/>
      <c r="P559" s="38"/>
      <c r="Q559" s="17"/>
      <c r="R559" s="4"/>
      <c r="S559" s="39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8"/>
      <c r="O560" s="4"/>
      <c r="P560" s="38"/>
      <c r="Q560" s="17"/>
      <c r="R560" s="4"/>
      <c r="S560" s="39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8"/>
      <c r="O561" s="4"/>
      <c r="P561" s="38"/>
      <c r="Q561" s="17"/>
      <c r="R561" s="4"/>
      <c r="S561" s="39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8"/>
      <c r="O562" s="4"/>
      <c r="P562" s="38"/>
      <c r="Q562" s="17"/>
      <c r="R562" s="4"/>
      <c r="S562" s="39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8"/>
      <c r="O563" s="4"/>
      <c r="P563" s="38"/>
      <c r="Q563" s="17"/>
      <c r="R563" s="4"/>
      <c r="S563" s="39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8"/>
      <c r="O564" s="4"/>
      <c r="P564" s="38"/>
      <c r="Q564" s="17"/>
      <c r="R564" s="4"/>
      <c r="S564" s="39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8"/>
      <c r="O565" s="4"/>
      <c r="P565" s="38"/>
      <c r="Q565" s="17"/>
      <c r="R565" s="4"/>
      <c r="S565" s="39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8"/>
      <c r="O566" s="4"/>
      <c r="P566" s="38"/>
      <c r="Q566" s="17"/>
      <c r="R566" s="4"/>
      <c r="S566" s="39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8"/>
      <c r="O567" s="4"/>
      <c r="P567" s="38"/>
      <c r="Q567" s="17"/>
      <c r="R567" s="4"/>
      <c r="S567" s="39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8"/>
      <c r="O568" s="4"/>
      <c r="P568" s="38"/>
      <c r="Q568" s="17"/>
      <c r="R568" s="4"/>
      <c r="S568" s="39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8"/>
      <c r="O569" s="4"/>
      <c r="P569" s="38"/>
      <c r="Q569" s="17"/>
      <c r="R569" s="4"/>
      <c r="S569" s="39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8"/>
      <c r="O570" s="4"/>
      <c r="P570" s="38"/>
      <c r="Q570" s="17"/>
      <c r="R570" s="4"/>
      <c r="S570" s="39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8"/>
      <c r="O571" s="4"/>
      <c r="P571" s="38"/>
      <c r="Q571" s="17"/>
      <c r="R571" s="4"/>
      <c r="S571" s="39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8"/>
      <c r="O572" s="4"/>
      <c r="P572" s="38"/>
      <c r="Q572" s="17"/>
      <c r="R572" s="4"/>
      <c r="S572" s="39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8"/>
      <c r="O573" s="4"/>
      <c r="P573" s="38"/>
      <c r="Q573" s="17"/>
      <c r="R573" s="4"/>
      <c r="S573" s="39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8"/>
      <c r="O574" s="4"/>
      <c r="P574" s="38"/>
      <c r="Q574" s="17"/>
      <c r="R574" s="4"/>
      <c r="S574" s="39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8"/>
      <c r="O575" s="4"/>
      <c r="P575" s="38"/>
      <c r="Q575" s="17"/>
      <c r="R575" s="4"/>
      <c r="S575" s="39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8"/>
      <c r="O576" s="4"/>
      <c r="P576" s="38"/>
      <c r="Q576" s="17"/>
      <c r="R576" s="4"/>
      <c r="S576" s="39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8"/>
      <c r="O577" s="4"/>
      <c r="P577" s="38"/>
      <c r="Q577" s="17"/>
      <c r="R577" s="4"/>
      <c r="S577" s="39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8"/>
      <c r="O578" s="4"/>
      <c r="P578" s="38"/>
      <c r="Q578" s="17"/>
      <c r="R578" s="4"/>
      <c r="S578" s="39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8"/>
      <c r="O579" s="4"/>
      <c r="P579" s="38"/>
      <c r="Q579" s="17"/>
      <c r="R579" s="4"/>
      <c r="S579" s="39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8"/>
      <c r="O580" s="4"/>
      <c r="P580" s="38"/>
      <c r="Q580" s="17"/>
      <c r="R580" s="4"/>
      <c r="S580" s="39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8"/>
      <c r="O581" s="4"/>
      <c r="P581" s="38"/>
      <c r="Q581" s="17"/>
      <c r="R581" s="4"/>
      <c r="S581" s="39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8"/>
      <c r="O582" s="4"/>
      <c r="P582" s="38"/>
      <c r="Q582" s="17"/>
      <c r="R582" s="4"/>
      <c r="S582" s="39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8"/>
      <c r="O583" s="4"/>
      <c r="P583" s="38"/>
      <c r="Q583" s="17"/>
      <c r="R583" s="4"/>
      <c r="S583" s="39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8"/>
      <c r="O584" s="4"/>
      <c r="P584" s="38"/>
      <c r="Q584" s="17"/>
      <c r="R584" s="4"/>
      <c r="S584" s="39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8"/>
      <c r="O585" s="4"/>
      <c r="P585" s="38"/>
      <c r="Q585" s="17"/>
      <c r="R585" s="4"/>
      <c r="S585" s="39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8"/>
      <c r="O586" s="4"/>
      <c r="P586" s="38"/>
      <c r="Q586" s="17"/>
      <c r="R586" s="4"/>
      <c r="S586" s="39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8"/>
      <c r="O587" s="4"/>
      <c r="P587" s="38"/>
      <c r="Q587" s="17"/>
      <c r="R587" s="4"/>
      <c r="S587" s="39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8"/>
      <c r="O588" s="4"/>
      <c r="P588" s="38"/>
      <c r="Q588" s="17"/>
      <c r="R588" s="4"/>
      <c r="S588" s="39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8"/>
      <c r="O589" s="4"/>
      <c r="P589" s="38"/>
      <c r="Q589" s="17"/>
      <c r="R589" s="4"/>
      <c r="S589" s="39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8"/>
      <c r="O590" s="4"/>
      <c r="P590" s="38"/>
      <c r="Q590" s="17"/>
      <c r="R590" s="4"/>
      <c r="S590" s="39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8"/>
      <c r="O591" s="4"/>
      <c r="P591" s="38"/>
      <c r="Q591" s="17"/>
      <c r="R591" s="4"/>
      <c r="S591" s="39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8"/>
      <c r="O592" s="4"/>
      <c r="P592" s="38"/>
      <c r="Q592" s="17"/>
      <c r="R592" s="4"/>
      <c r="S592" s="39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8"/>
      <c r="O593" s="4"/>
      <c r="P593" s="38"/>
      <c r="Q593" s="17"/>
      <c r="R593" s="4"/>
      <c r="S593" s="39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8"/>
      <c r="O594" s="4"/>
      <c r="P594" s="38"/>
      <c r="Q594" s="17"/>
      <c r="R594" s="4"/>
      <c r="S594" s="39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8"/>
      <c r="O595" s="4"/>
      <c r="P595" s="38"/>
      <c r="Q595" s="17"/>
      <c r="R595" s="4"/>
      <c r="S595" s="39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8"/>
      <c r="O596" s="4"/>
      <c r="P596" s="38"/>
      <c r="Q596" s="17"/>
      <c r="R596" s="4"/>
      <c r="S596" s="39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8"/>
      <c r="O597" s="4"/>
      <c r="P597" s="38"/>
      <c r="Q597" s="17"/>
      <c r="R597" s="4"/>
      <c r="S597" s="39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8"/>
      <c r="O598" s="4"/>
      <c r="P598" s="38"/>
      <c r="Q598" s="17"/>
      <c r="R598" s="4"/>
      <c r="S598" s="39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8"/>
      <c r="O599" s="4"/>
      <c r="P599" s="38"/>
      <c r="Q599" s="17"/>
      <c r="R599" s="4"/>
      <c r="S599" s="39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8"/>
      <c r="O600" s="4"/>
      <c r="P600" s="38"/>
      <c r="Q600" s="17"/>
      <c r="R600" s="4"/>
      <c r="S600" s="39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8"/>
      <c r="O601" s="4"/>
      <c r="P601" s="38"/>
      <c r="Q601" s="17"/>
      <c r="R601" s="4"/>
      <c r="S601" s="39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8"/>
      <c r="O602" s="4"/>
      <c r="P602" s="38"/>
      <c r="Q602" s="17"/>
      <c r="R602" s="4"/>
      <c r="S602" s="39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8"/>
      <c r="O603" s="4"/>
      <c r="P603" s="38"/>
      <c r="Q603" s="17"/>
      <c r="R603" s="4"/>
      <c r="S603" s="39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8"/>
      <c r="O604" s="4"/>
      <c r="P604" s="38"/>
      <c r="Q604" s="17"/>
      <c r="R604" s="4"/>
      <c r="S604" s="39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8"/>
      <c r="O605" s="4"/>
      <c r="P605" s="38"/>
      <c r="Q605" s="17"/>
      <c r="R605" s="4"/>
      <c r="S605" s="39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8"/>
      <c r="O606" s="4"/>
      <c r="P606" s="38"/>
      <c r="Q606" s="17"/>
      <c r="R606" s="4"/>
      <c r="S606" s="39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8"/>
      <c r="O607" s="4"/>
      <c r="P607" s="38"/>
      <c r="Q607" s="17"/>
      <c r="R607" s="4"/>
      <c r="S607" s="39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8"/>
      <c r="O608" s="4"/>
      <c r="P608" s="38"/>
      <c r="Q608" s="17"/>
      <c r="R608" s="4"/>
      <c r="S608" s="39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8"/>
      <c r="O609" s="4"/>
      <c r="P609" s="38"/>
      <c r="Q609" s="17"/>
      <c r="R609" s="4"/>
      <c r="S609" s="39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8"/>
      <c r="O610" s="4"/>
      <c r="P610" s="38"/>
      <c r="Q610" s="17"/>
      <c r="R610" s="4"/>
      <c r="S610" s="39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8"/>
      <c r="O611" s="4"/>
      <c r="P611" s="38"/>
      <c r="Q611" s="17"/>
      <c r="R611" s="4"/>
      <c r="S611" s="39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8"/>
      <c r="O612" s="4"/>
      <c r="P612" s="38"/>
      <c r="Q612" s="17"/>
      <c r="R612" s="4"/>
      <c r="S612" s="39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8"/>
      <c r="O613" s="4"/>
      <c r="P613" s="38"/>
      <c r="Q613" s="17"/>
      <c r="R613" s="4"/>
      <c r="S613" s="39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8"/>
      <c r="O614" s="4"/>
      <c r="P614" s="38"/>
      <c r="Q614" s="17"/>
      <c r="R614" s="4"/>
      <c r="S614" s="39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8"/>
      <c r="O615" s="4"/>
      <c r="P615" s="38"/>
      <c r="Q615" s="17"/>
      <c r="R615" s="4"/>
      <c r="S615" s="39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8"/>
      <c r="O616" s="4"/>
      <c r="P616" s="38"/>
      <c r="Q616" s="17"/>
      <c r="R616" s="4"/>
      <c r="S616" s="39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8"/>
      <c r="O617" s="4"/>
      <c r="P617" s="38"/>
      <c r="Q617" s="17"/>
      <c r="R617" s="4"/>
      <c r="S617" s="39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8"/>
      <c r="O618" s="4"/>
      <c r="P618" s="38"/>
      <c r="Q618" s="17"/>
      <c r="R618" s="4"/>
      <c r="S618" s="39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8"/>
      <c r="O619" s="4"/>
      <c r="P619" s="38"/>
      <c r="Q619" s="17"/>
      <c r="R619" s="4"/>
      <c r="S619" s="39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8"/>
      <c r="O620" s="4"/>
      <c r="P620" s="38"/>
      <c r="Q620" s="17"/>
      <c r="R620" s="4"/>
      <c r="S620" s="39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8"/>
      <c r="O621" s="4"/>
      <c r="P621" s="38"/>
      <c r="Q621" s="17"/>
      <c r="R621" s="4"/>
      <c r="S621" s="39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8"/>
      <c r="O622" s="4"/>
      <c r="P622" s="38"/>
      <c r="Q622" s="17"/>
      <c r="R622" s="4"/>
      <c r="S622" s="39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8"/>
      <c r="O623" s="4"/>
      <c r="P623" s="38"/>
      <c r="Q623" s="17"/>
      <c r="R623" s="4"/>
      <c r="S623" s="39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8"/>
      <c r="O624" s="4"/>
      <c r="P624" s="38"/>
      <c r="Q624" s="17"/>
      <c r="R624" s="4"/>
      <c r="S624" s="39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8"/>
      <c r="O625" s="4"/>
      <c r="P625" s="38"/>
      <c r="Q625" s="17"/>
      <c r="R625" s="4"/>
      <c r="S625" s="39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8"/>
      <c r="O626" s="4"/>
      <c r="P626" s="38"/>
      <c r="Q626" s="17"/>
      <c r="R626" s="4"/>
      <c r="S626" s="39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8"/>
      <c r="O627" s="4"/>
      <c r="P627" s="38"/>
      <c r="Q627" s="17"/>
      <c r="R627" s="4"/>
      <c r="S627" s="39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8"/>
      <c r="O628" s="4"/>
      <c r="P628" s="38"/>
      <c r="Q628" s="17"/>
      <c r="R628" s="4"/>
      <c r="S628" s="39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8"/>
      <c r="O629" s="4"/>
      <c r="P629" s="38"/>
      <c r="Q629" s="17"/>
      <c r="R629" s="4"/>
      <c r="S629" s="39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8"/>
      <c r="O630" s="4"/>
      <c r="P630" s="38"/>
      <c r="Q630" s="17"/>
      <c r="R630" s="4"/>
      <c r="S630" s="39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8"/>
      <c r="O631" s="4"/>
      <c r="P631" s="38"/>
      <c r="Q631" s="17"/>
      <c r="R631" s="4"/>
      <c r="S631" s="39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8"/>
      <c r="O632" s="4"/>
      <c r="P632" s="38"/>
      <c r="Q632" s="17"/>
      <c r="R632" s="4"/>
      <c r="S632" s="39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8"/>
      <c r="O633" s="4"/>
      <c r="P633" s="38"/>
      <c r="Q633" s="17"/>
      <c r="R633" s="4"/>
      <c r="S633" s="39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8"/>
      <c r="O634" s="4"/>
      <c r="P634" s="38"/>
      <c r="Q634" s="17"/>
      <c r="R634" s="4"/>
      <c r="S634" s="39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8"/>
      <c r="O635" s="4"/>
      <c r="P635" s="38"/>
      <c r="Q635" s="17"/>
      <c r="R635" s="4"/>
      <c r="S635" s="39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8"/>
      <c r="O636" s="4"/>
      <c r="P636" s="38"/>
      <c r="Q636" s="17"/>
      <c r="R636" s="4"/>
      <c r="S636" s="39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8"/>
      <c r="O637" s="4"/>
      <c r="P637" s="38"/>
      <c r="Q637" s="17"/>
      <c r="R637" s="4"/>
      <c r="S637" s="39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8"/>
      <c r="O638" s="4"/>
      <c r="P638" s="38"/>
      <c r="Q638" s="17"/>
      <c r="R638" s="4"/>
      <c r="S638" s="39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8"/>
      <c r="O639" s="4"/>
      <c r="P639" s="38"/>
      <c r="Q639" s="17"/>
      <c r="R639" s="4"/>
      <c r="S639" s="39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8"/>
      <c r="O640" s="4"/>
      <c r="P640" s="38"/>
      <c r="Q640" s="17"/>
      <c r="R640" s="4"/>
      <c r="S640" s="39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8"/>
      <c r="O641" s="4"/>
      <c r="P641" s="38"/>
      <c r="Q641" s="17"/>
      <c r="R641" s="4"/>
      <c r="S641" s="39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8"/>
      <c r="O642" s="4"/>
      <c r="P642" s="38"/>
      <c r="Q642" s="17"/>
      <c r="R642" s="4"/>
      <c r="S642" s="39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8"/>
      <c r="O643" s="4"/>
      <c r="P643" s="38"/>
      <c r="Q643" s="17"/>
      <c r="R643" s="4"/>
      <c r="S643" s="39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8"/>
      <c r="O644" s="4"/>
      <c r="P644" s="38"/>
      <c r="Q644" s="17"/>
      <c r="R644" s="4"/>
      <c r="S644" s="39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8"/>
      <c r="O645" s="4"/>
      <c r="P645" s="38"/>
      <c r="Q645" s="17"/>
      <c r="R645" s="4"/>
      <c r="S645" s="39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8"/>
      <c r="O646" s="4"/>
      <c r="P646" s="38"/>
      <c r="Q646" s="17"/>
      <c r="R646" s="4"/>
      <c r="S646" s="39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8"/>
      <c r="O647" s="4"/>
      <c r="P647" s="38"/>
      <c r="Q647" s="17"/>
      <c r="R647" s="4"/>
      <c r="S647" s="39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8"/>
      <c r="O648" s="4"/>
      <c r="P648" s="38"/>
      <c r="Q648" s="17"/>
      <c r="R648" s="4"/>
      <c r="S648" s="39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8"/>
      <c r="O649" s="4"/>
      <c r="P649" s="38"/>
      <c r="Q649" s="17"/>
      <c r="R649" s="4"/>
      <c r="S649" s="39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8"/>
      <c r="O650" s="4"/>
      <c r="P650" s="38"/>
      <c r="Q650" s="17"/>
      <c r="R650" s="4"/>
      <c r="S650" s="39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8"/>
      <c r="O651" s="4"/>
      <c r="P651" s="38"/>
      <c r="Q651" s="17"/>
      <c r="R651" s="4"/>
      <c r="S651" s="39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8"/>
      <c r="O652" s="4"/>
      <c r="P652" s="38"/>
      <c r="Q652" s="17"/>
      <c r="R652" s="4"/>
      <c r="S652" s="39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8"/>
      <c r="O653" s="4"/>
      <c r="P653" s="38"/>
      <c r="Q653" s="17"/>
      <c r="R653" s="4"/>
      <c r="S653" s="39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8"/>
      <c r="O654" s="4"/>
      <c r="P654" s="38"/>
      <c r="Q654" s="17"/>
      <c r="R654" s="4"/>
      <c r="S654" s="39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8"/>
      <c r="O655" s="4"/>
      <c r="P655" s="38"/>
      <c r="Q655" s="17"/>
      <c r="R655" s="4"/>
      <c r="S655" s="39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8"/>
      <c r="O656" s="4"/>
      <c r="P656" s="38"/>
      <c r="Q656" s="17"/>
      <c r="R656" s="4"/>
      <c r="S656" s="39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8"/>
      <c r="O657" s="4"/>
      <c r="P657" s="38"/>
      <c r="Q657" s="17"/>
      <c r="R657" s="4"/>
      <c r="S657" s="39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8"/>
      <c r="O658" s="4"/>
      <c r="P658" s="38"/>
      <c r="Q658" s="17"/>
      <c r="R658" s="4"/>
      <c r="S658" s="39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8"/>
      <c r="O659" s="4"/>
      <c r="P659" s="38"/>
      <c r="Q659" s="17"/>
      <c r="R659" s="4"/>
      <c r="S659" s="39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8"/>
      <c r="O660" s="4"/>
      <c r="P660" s="38"/>
      <c r="Q660" s="17"/>
      <c r="R660" s="4"/>
      <c r="S660" s="39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8"/>
      <c r="O661" s="4"/>
      <c r="P661" s="38"/>
      <c r="Q661" s="17"/>
      <c r="R661" s="4"/>
      <c r="S661" s="39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8"/>
      <c r="O662" s="4"/>
      <c r="P662" s="38"/>
      <c r="Q662" s="17"/>
      <c r="R662" s="4"/>
      <c r="S662" s="39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8"/>
      <c r="O663" s="4"/>
      <c r="P663" s="38"/>
      <c r="Q663" s="17"/>
      <c r="R663" s="4"/>
      <c r="S663" s="39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8"/>
      <c r="O664" s="4"/>
      <c r="P664" s="38"/>
      <c r="Q664" s="17"/>
      <c r="R664" s="4"/>
      <c r="S664" s="39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8"/>
      <c r="O665" s="4"/>
      <c r="P665" s="38"/>
      <c r="Q665" s="17"/>
      <c r="R665" s="4"/>
      <c r="S665" s="39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8"/>
      <c r="O666" s="4"/>
      <c r="P666" s="38"/>
      <c r="Q666" s="17"/>
      <c r="R666" s="4"/>
      <c r="S666" s="39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8"/>
      <c r="O667" s="4"/>
      <c r="P667" s="38"/>
      <c r="Q667" s="17"/>
      <c r="R667" s="4"/>
      <c r="S667" s="39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8"/>
      <c r="O668" s="4"/>
      <c r="P668" s="38"/>
      <c r="Q668" s="17"/>
      <c r="R668" s="4"/>
      <c r="S668" s="39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8"/>
      <c r="O669" s="4"/>
      <c r="P669" s="38"/>
      <c r="Q669" s="17"/>
      <c r="R669" s="4"/>
      <c r="S669" s="39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8"/>
      <c r="O670" s="4"/>
      <c r="P670" s="38"/>
      <c r="Q670" s="17"/>
      <c r="R670" s="4"/>
      <c r="S670" s="39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8"/>
      <c r="O671" s="4"/>
      <c r="P671" s="38"/>
      <c r="Q671" s="17"/>
      <c r="R671" s="4"/>
      <c r="S671" s="39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8"/>
      <c r="O672" s="4"/>
      <c r="P672" s="38"/>
      <c r="Q672" s="17"/>
      <c r="R672" s="4"/>
      <c r="S672" s="39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8"/>
      <c r="O673" s="4"/>
      <c r="P673" s="38"/>
      <c r="Q673" s="17"/>
      <c r="R673" s="4"/>
      <c r="S673" s="39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8"/>
      <c r="O674" s="4"/>
      <c r="P674" s="38"/>
      <c r="Q674" s="17"/>
      <c r="R674" s="4"/>
      <c r="S674" s="39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8"/>
      <c r="O675" s="4"/>
      <c r="P675" s="38"/>
      <c r="Q675" s="17"/>
      <c r="R675" s="4"/>
      <c r="S675" s="39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8"/>
      <c r="O676" s="4"/>
      <c r="P676" s="38"/>
      <c r="Q676" s="17"/>
      <c r="R676" s="4"/>
      <c r="S676" s="39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8"/>
      <c r="O677" s="4"/>
      <c r="P677" s="38"/>
      <c r="Q677" s="17"/>
      <c r="R677" s="4"/>
      <c r="S677" s="39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8"/>
      <c r="O678" s="4"/>
      <c r="P678" s="38"/>
      <c r="Q678" s="17"/>
      <c r="R678" s="4"/>
      <c r="S678" s="39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8"/>
      <c r="O679" s="4"/>
      <c r="P679" s="38"/>
      <c r="Q679" s="17"/>
      <c r="R679" s="4"/>
      <c r="S679" s="39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8"/>
      <c r="O680" s="4"/>
      <c r="P680" s="38"/>
      <c r="Q680" s="17"/>
      <c r="R680" s="4"/>
      <c r="S680" s="39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8"/>
      <c r="O681" s="4"/>
      <c r="P681" s="38"/>
      <c r="Q681" s="17"/>
      <c r="R681" s="4"/>
      <c r="S681" s="39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8"/>
      <c r="O682" s="4"/>
      <c r="P682" s="38"/>
      <c r="Q682" s="17"/>
      <c r="R682" s="4"/>
      <c r="S682" s="39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8"/>
      <c r="O683" s="4"/>
      <c r="P683" s="38"/>
      <c r="Q683" s="17"/>
      <c r="R683" s="4"/>
      <c r="S683" s="39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8"/>
      <c r="O684" s="4"/>
      <c r="P684" s="38"/>
      <c r="Q684" s="17"/>
      <c r="R684" s="4"/>
      <c r="S684" s="39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8"/>
      <c r="O685" s="4"/>
      <c r="P685" s="38"/>
      <c r="Q685" s="17"/>
      <c r="R685" s="4"/>
      <c r="S685" s="39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8"/>
      <c r="O686" s="4"/>
      <c r="P686" s="38"/>
      <c r="Q686" s="17"/>
      <c r="R686" s="4"/>
      <c r="S686" s="39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8"/>
      <c r="O687" s="4"/>
      <c r="P687" s="38"/>
      <c r="Q687" s="17"/>
      <c r="R687" s="4"/>
      <c r="S687" s="39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8"/>
      <c r="O688" s="4"/>
      <c r="P688" s="38"/>
      <c r="Q688" s="17"/>
      <c r="R688" s="4"/>
      <c r="S688" s="39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8"/>
      <c r="O689" s="4"/>
      <c r="P689" s="38"/>
      <c r="Q689" s="17"/>
      <c r="R689" s="4"/>
      <c r="S689" s="39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8"/>
      <c r="O690" s="4"/>
      <c r="P690" s="38"/>
      <c r="Q690" s="17"/>
      <c r="R690" s="4"/>
      <c r="S690" s="39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8"/>
      <c r="O691" s="4"/>
      <c r="P691" s="38"/>
      <c r="Q691" s="17"/>
      <c r="R691" s="4"/>
      <c r="S691" s="39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8"/>
      <c r="O692" s="4"/>
      <c r="P692" s="38"/>
      <c r="Q692" s="17"/>
      <c r="R692" s="4"/>
      <c r="S692" s="39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8"/>
      <c r="O693" s="4"/>
      <c r="P693" s="38"/>
      <c r="Q693" s="17"/>
      <c r="R693" s="4"/>
      <c r="S693" s="39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8"/>
      <c r="O694" s="4"/>
      <c r="P694" s="38"/>
      <c r="Q694" s="17"/>
      <c r="R694" s="4"/>
      <c r="S694" s="39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8"/>
      <c r="O695" s="4"/>
      <c r="P695" s="38"/>
      <c r="Q695" s="17"/>
      <c r="R695" s="4"/>
      <c r="S695" s="39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8"/>
      <c r="O696" s="4"/>
      <c r="P696" s="38"/>
      <c r="Q696" s="17"/>
      <c r="R696" s="4"/>
      <c r="S696" s="39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8"/>
      <c r="O697" s="4"/>
      <c r="P697" s="38"/>
      <c r="Q697" s="17"/>
      <c r="R697" s="4"/>
      <c r="S697" s="39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8"/>
      <c r="O698" s="4"/>
      <c r="P698" s="38"/>
      <c r="Q698" s="17"/>
      <c r="R698" s="4"/>
      <c r="S698" s="39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8"/>
      <c r="O699" s="4"/>
      <c r="P699" s="38"/>
      <c r="Q699" s="17"/>
      <c r="R699" s="4"/>
      <c r="S699" s="39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8"/>
      <c r="O700" s="4"/>
      <c r="P700" s="38"/>
      <c r="Q700" s="17"/>
      <c r="R700" s="4"/>
      <c r="S700" s="39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8"/>
      <c r="O701" s="4"/>
      <c r="P701" s="38"/>
      <c r="Q701" s="17"/>
      <c r="R701" s="4"/>
      <c r="S701" s="39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8"/>
      <c r="O702" s="4"/>
      <c r="P702" s="38"/>
      <c r="Q702" s="17"/>
      <c r="R702" s="4"/>
      <c r="S702" s="39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8"/>
      <c r="O703" s="4"/>
      <c r="P703" s="38"/>
      <c r="Q703" s="17"/>
      <c r="R703" s="4"/>
      <c r="S703" s="39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8"/>
      <c r="O704" s="4"/>
      <c r="P704" s="38"/>
      <c r="Q704" s="17"/>
      <c r="R704" s="4"/>
      <c r="S704" s="39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8"/>
      <c r="O705" s="4"/>
      <c r="P705" s="38"/>
      <c r="Q705" s="17"/>
      <c r="R705" s="4"/>
      <c r="S705" s="39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8"/>
      <c r="O706" s="4"/>
      <c r="P706" s="38"/>
      <c r="Q706" s="17"/>
      <c r="R706" s="4"/>
      <c r="S706" s="39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8"/>
      <c r="O707" s="4"/>
      <c r="P707" s="38"/>
      <c r="Q707" s="17"/>
      <c r="R707" s="4"/>
      <c r="S707" s="39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8"/>
      <c r="O708" s="4"/>
      <c r="P708" s="38"/>
      <c r="Q708" s="17"/>
      <c r="R708" s="4"/>
      <c r="S708" s="39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8"/>
      <c r="O709" s="4"/>
      <c r="P709" s="38"/>
      <c r="Q709" s="17"/>
      <c r="R709" s="4"/>
      <c r="S709" s="39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8"/>
      <c r="O710" s="4"/>
      <c r="P710" s="38"/>
      <c r="Q710" s="17"/>
      <c r="R710" s="4"/>
      <c r="S710" s="39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8"/>
      <c r="O711" s="4"/>
      <c r="P711" s="38"/>
      <c r="Q711" s="17"/>
      <c r="R711" s="4"/>
      <c r="S711" s="39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8"/>
      <c r="O712" s="4"/>
      <c r="P712" s="38"/>
      <c r="Q712" s="17"/>
      <c r="R712" s="4"/>
      <c r="S712" s="39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8"/>
      <c r="O713" s="4"/>
      <c r="P713" s="38"/>
      <c r="Q713" s="17"/>
      <c r="R713" s="4"/>
      <c r="S713" s="39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8"/>
      <c r="O714" s="4"/>
      <c r="P714" s="38"/>
      <c r="Q714" s="17"/>
      <c r="R714" s="4"/>
      <c r="S714" s="39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8"/>
      <c r="O715" s="4"/>
      <c r="P715" s="38"/>
      <c r="Q715" s="17"/>
      <c r="R715" s="4"/>
      <c r="S715" s="39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8"/>
      <c r="O716" s="4"/>
      <c r="P716" s="38"/>
      <c r="Q716" s="17"/>
      <c r="R716" s="4"/>
      <c r="S716" s="39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8"/>
      <c r="O717" s="4"/>
      <c r="P717" s="38"/>
      <c r="Q717" s="17"/>
      <c r="R717" s="4"/>
      <c r="S717" s="39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8"/>
      <c r="O718" s="4"/>
      <c r="P718" s="38"/>
      <c r="Q718" s="17"/>
      <c r="R718" s="4"/>
      <c r="S718" s="39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8"/>
      <c r="O719" s="4"/>
      <c r="P719" s="38"/>
      <c r="Q719" s="17"/>
      <c r="R719" s="4"/>
      <c r="S719" s="39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8"/>
      <c r="O720" s="4"/>
      <c r="P720" s="38"/>
      <c r="Q720" s="17"/>
      <c r="R720" s="4"/>
      <c r="S720" s="39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8"/>
      <c r="O721" s="4"/>
      <c r="P721" s="38"/>
      <c r="Q721" s="17"/>
      <c r="R721" s="4"/>
      <c r="S721" s="39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8"/>
      <c r="O722" s="4"/>
      <c r="P722" s="38"/>
      <c r="Q722" s="17"/>
      <c r="R722" s="4"/>
      <c r="S722" s="39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8"/>
      <c r="O723" s="4"/>
      <c r="P723" s="38"/>
      <c r="Q723" s="17"/>
      <c r="R723" s="4"/>
      <c r="S723" s="39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8"/>
      <c r="O724" s="4"/>
      <c r="P724" s="38"/>
      <c r="Q724" s="17"/>
      <c r="R724" s="4"/>
      <c r="S724" s="39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8"/>
      <c r="O725" s="4"/>
      <c r="P725" s="38"/>
      <c r="Q725" s="17"/>
      <c r="R725" s="4"/>
      <c r="S725" s="39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8"/>
      <c r="O726" s="4"/>
      <c r="P726" s="38"/>
      <c r="Q726" s="17"/>
      <c r="R726" s="4"/>
      <c r="S726" s="39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8"/>
      <c r="O727" s="4"/>
      <c r="P727" s="38"/>
      <c r="Q727" s="17"/>
      <c r="R727" s="4"/>
      <c r="S727" s="39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8"/>
      <c r="O728" s="4"/>
      <c r="P728" s="38"/>
      <c r="Q728" s="17"/>
      <c r="R728" s="4"/>
      <c r="S728" s="39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8"/>
      <c r="O729" s="4"/>
      <c r="P729" s="38"/>
      <c r="Q729" s="17"/>
      <c r="R729" s="4"/>
      <c r="S729" s="39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8"/>
      <c r="O730" s="4"/>
      <c r="P730" s="38"/>
      <c r="Q730" s="17"/>
      <c r="R730" s="4"/>
      <c r="S730" s="39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8"/>
      <c r="O731" s="4"/>
      <c r="P731" s="38"/>
      <c r="Q731" s="17"/>
      <c r="R731" s="4"/>
      <c r="S731" s="39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8"/>
      <c r="O732" s="4"/>
      <c r="P732" s="38"/>
      <c r="Q732" s="17"/>
      <c r="R732" s="4"/>
      <c r="S732" s="39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8"/>
      <c r="O733" s="4"/>
      <c r="P733" s="38"/>
      <c r="Q733" s="17"/>
      <c r="R733" s="4"/>
      <c r="S733" s="39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8"/>
      <c r="O734" s="4"/>
      <c r="P734" s="38"/>
      <c r="Q734" s="17"/>
      <c r="R734" s="4"/>
      <c r="S734" s="39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8"/>
      <c r="O735" s="4"/>
      <c r="P735" s="38"/>
      <c r="Q735" s="17"/>
      <c r="R735" s="4"/>
      <c r="S735" s="39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8"/>
      <c r="O736" s="4"/>
      <c r="P736" s="38"/>
      <c r="Q736" s="17"/>
      <c r="R736" s="4"/>
      <c r="S736" s="39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8"/>
      <c r="O737" s="4"/>
      <c r="P737" s="38"/>
      <c r="Q737" s="17"/>
      <c r="R737" s="4"/>
      <c r="S737" s="39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8"/>
      <c r="O738" s="4"/>
      <c r="P738" s="38"/>
      <c r="Q738" s="17"/>
      <c r="R738" s="4"/>
      <c r="S738" s="39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8"/>
      <c r="O739" s="4"/>
      <c r="P739" s="38"/>
      <c r="Q739" s="17"/>
      <c r="R739" s="4"/>
      <c r="S739" s="39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8"/>
      <c r="O740" s="4"/>
      <c r="P740" s="38"/>
      <c r="Q740" s="17"/>
      <c r="R740" s="4"/>
      <c r="S740" s="39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8"/>
      <c r="O741" s="4"/>
      <c r="P741" s="38"/>
      <c r="Q741" s="17"/>
      <c r="R741" s="4"/>
      <c r="S741" s="39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8"/>
      <c r="O742" s="4"/>
      <c r="P742" s="38"/>
      <c r="Q742" s="17"/>
      <c r="R742" s="4"/>
      <c r="S742" s="39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8"/>
      <c r="O743" s="4"/>
      <c r="P743" s="38"/>
      <c r="Q743" s="17"/>
      <c r="R743" s="4"/>
      <c r="S743" s="39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8"/>
      <c r="O744" s="4"/>
      <c r="P744" s="38"/>
      <c r="Q744" s="17"/>
      <c r="R744" s="4"/>
      <c r="S744" s="39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8"/>
      <c r="O745" s="4"/>
      <c r="P745" s="38"/>
      <c r="Q745" s="17"/>
      <c r="R745" s="4"/>
      <c r="S745" s="39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8"/>
      <c r="O746" s="4"/>
      <c r="P746" s="38"/>
      <c r="Q746" s="17"/>
      <c r="R746" s="4"/>
      <c r="S746" s="39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8"/>
      <c r="O747" s="4"/>
      <c r="P747" s="38"/>
      <c r="Q747" s="17"/>
      <c r="R747" s="4"/>
      <c r="S747" s="39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8"/>
      <c r="O748" s="4"/>
      <c r="P748" s="38"/>
      <c r="Q748" s="17"/>
      <c r="R748" s="4"/>
      <c r="S748" s="39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8"/>
      <c r="O749" s="4"/>
      <c r="P749" s="38"/>
      <c r="Q749" s="17"/>
      <c r="R749" s="4"/>
      <c r="S749" s="39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8"/>
      <c r="O750" s="4"/>
      <c r="P750" s="38"/>
      <c r="Q750" s="17"/>
      <c r="R750" s="4"/>
      <c r="S750" s="39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8"/>
      <c r="O751" s="4"/>
      <c r="P751" s="38"/>
      <c r="Q751" s="17"/>
      <c r="R751" s="4"/>
      <c r="S751" s="39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8"/>
      <c r="O752" s="4"/>
      <c r="P752" s="38"/>
      <c r="Q752" s="17"/>
      <c r="R752" s="4"/>
      <c r="S752" s="39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8"/>
      <c r="O753" s="4"/>
      <c r="P753" s="38"/>
      <c r="Q753" s="17"/>
      <c r="R753" s="4"/>
      <c r="S753" s="39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8"/>
      <c r="O754" s="4"/>
      <c r="P754" s="38"/>
      <c r="Q754" s="17"/>
      <c r="R754" s="4"/>
      <c r="S754" s="39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8"/>
      <c r="O755" s="4"/>
      <c r="P755" s="38"/>
      <c r="Q755" s="17"/>
      <c r="R755" s="4"/>
      <c r="S755" s="39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8"/>
      <c r="O756" s="4"/>
      <c r="P756" s="38"/>
      <c r="Q756" s="17"/>
      <c r="R756" s="4"/>
      <c r="S756" s="39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8"/>
      <c r="O757" s="4"/>
      <c r="P757" s="38"/>
      <c r="Q757" s="17"/>
      <c r="R757" s="4"/>
      <c r="S757" s="39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8"/>
      <c r="O758" s="4"/>
      <c r="P758" s="38"/>
      <c r="Q758" s="17"/>
      <c r="R758" s="4"/>
      <c r="S758" s="39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8"/>
      <c r="O759" s="4"/>
      <c r="P759" s="38"/>
      <c r="Q759" s="17"/>
      <c r="R759" s="4"/>
      <c r="S759" s="39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8"/>
      <c r="O760" s="4"/>
      <c r="P760" s="38"/>
      <c r="Q760" s="17"/>
      <c r="R760" s="4"/>
      <c r="S760" s="39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8"/>
      <c r="O761" s="4"/>
      <c r="P761" s="38"/>
      <c r="Q761" s="17"/>
      <c r="R761" s="4"/>
      <c r="S761" s="39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8"/>
      <c r="O762" s="4"/>
      <c r="P762" s="38"/>
      <c r="Q762" s="17"/>
      <c r="R762" s="4"/>
      <c r="S762" s="39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8"/>
      <c r="O763" s="4"/>
      <c r="P763" s="38"/>
      <c r="Q763" s="17"/>
      <c r="R763" s="4"/>
      <c r="S763" s="39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8"/>
      <c r="O764" s="4"/>
      <c r="P764" s="38"/>
      <c r="Q764" s="17"/>
      <c r="R764" s="4"/>
      <c r="S764" s="39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8"/>
      <c r="O765" s="4"/>
      <c r="P765" s="38"/>
      <c r="Q765" s="17"/>
      <c r="R765" s="4"/>
      <c r="S765" s="39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8"/>
      <c r="O766" s="4"/>
      <c r="P766" s="38"/>
      <c r="Q766" s="17"/>
      <c r="R766" s="4"/>
      <c r="S766" s="39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8"/>
      <c r="O767" s="4"/>
      <c r="P767" s="38"/>
      <c r="Q767" s="17"/>
      <c r="R767" s="4"/>
      <c r="S767" s="39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8"/>
      <c r="O768" s="4"/>
      <c r="P768" s="38"/>
      <c r="Q768" s="17"/>
      <c r="R768" s="4"/>
      <c r="S768" s="39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8"/>
      <c r="O769" s="4"/>
      <c r="P769" s="38"/>
      <c r="Q769" s="17"/>
      <c r="R769" s="4"/>
      <c r="S769" s="39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8"/>
      <c r="O770" s="4"/>
      <c r="P770" s="38"/>
      <c r="Q770" s="17"/>
      <c r="R770" s="4"/>
      <c r="S770" s="39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8"/>
      <c r="O771" s="4"/>
      <c r="P771" s="38"/>
      <c r="Q771" s="17"/>
      <c r="R771" s="4"/>
      <c r="S771" s="39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8"/>
      <c r="O772" s="4"/>
      <c r="P772" s="38"/>
      <c r="Q772" s="17"/>
      <c r="R772" s="4"/>
      <c r="S772" s="39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8"/>
      <c r="O773" s="4"/>
      <c r="P773" s="38"/>
      <c r="Q773" s="17"/>
      <c r="R773" s="4"/>
      <c r="S773" s="39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8"/>
      <c r="O774" s="4"/>
      <c r="P774" s="38"/>
      <c r="Q774" s="17"/>
      <c r="R774" s="4"/>
      <c r="S774" s="39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8"/>
      <c r="O775" s="4"/>
      <c r="P775" s="38"/>
      <c r="Q775" s="17"/>
      <c r="R775" s="4"/>
      <c r="S775" s="39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8"/>
      <c r="O776" s="4"/>
      <c r="P776" s="38"/>
      <c r="Q776" s="17"/>
      <c r="R776" s="4"/>
      <c r="S776" s="39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8"/>
      <c r="O777" s="4"/>
      <c r="P777" s="38"/>
      <c r="Q777" s="17"/>
      <c r="R777" s="4"/>
      <c r="S777" s="39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8"/>
      <c r="O778" s="4"/>
      <c r="P778" s="38"/>
      <c r="Q778" s="17"/>
      <c r="R778" s="4"/>
      <c r="S778" s="39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8"/>
      <c r="O779" s="4"/>
      <c r="P779" s="38"/>
      <c r="Q779" s="17"/>
      <c r="R779" s="4"/>
      <c r="S779" s="39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8"/>
      <c r="O780" s="4"/>
      <c r="P780" s="38"/>
      <c r="Q780" s="17"/>
      <c r="R780" s="4"/>
      <c r="S780" s="39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8"/>
      <c r="O781" s="4"/>
      <c r="P781" s="38"/>
      <c r="Q781" s="17"/>
      <c r="R781" s="4"/>
      <c r="S781" s="39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8"/>
      <c r="O782" s="4"/>
      <c r="P782" s="38"/>
      <c r="Q782" s="17"/>
      <c r="R782" s="4"/>
      <c r="S782" s="39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8"/>
      <c r="O783" s="4"/>
      <c r="P783" s="38"/>
      <c r="Q783" s="17"/>
      <c r="R783" s="4"/>
      <c r="S783" s="39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8"/>
      <c r="O784" s="4"/>
      <c r="P784" s="38"/>
      <c r="Q784" s="17"/>
      <c r="R784" s="4"/>
      <c r="S784" s="39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8"/>
      <c r="O785" s="4"/>
      <c r="P785" s="38"/>
      <c r="Q785" s="17"/>
      <c r="R785" s="4"/>
      <c r="S785" s="39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8"/>
      <c r="O786" s="4"/>
      <c r="P786" s="38"/>
      <c r="Q786" s="17"/>
      <c r="R786" s="4"/>
      <c r="S786" s="39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8"/>
      <c r="O787" s="4"/>
      <c r="P787" s="38"/>
      <c r="Q787" s="17"/>
      <c r="R787" s="4"/>
      <c r="S787" s="39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8"/>
      <c r="O788" s="4"/>
      <c r="P788" s="38"/>
      <c r="Q788" s="17"/>
      <c r="R788" s="4"/>
      <c r="S788" s="39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8"/>
      <c r="O789" s="4"/>
      <c r="P789" s="38"/>
      <c r="Q789" s="17"/>
      <c r="R789" s="4"/>
      <c r="S789" s="39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8"/>
      <c r="O790" s="4"/>
      <c r="P790" s="38"/>
      <c r="Q790" s="17"/>
      <c r="R790" s="4"/>
      <c r="S790" s="39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8"/>
      <c r="O791" s="4"/>
      <c r="P791" s="38"/>
      <c r="Q791" s="17"/>
      <c r="R791" s="4"/>
      <c r="S791" s="39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8"/>
      <c r="O792" s="4"/>
      <c r="P792" s="38"/>
      <c r="Q792" s="17"/>
      <c r="R792" s="4"/>
      <c r="S792" s="39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8"/>
      <c r="O793" s="4"/>
      <c r="P793" s="38"/>
      <c r="Q793" s="17"/>
      <c r="R793" s="4"/>
      <c r="S793" s="39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8"/>
      <c r="O794" s="4"/>
      <c r="P794" s="38"/>
      <c r="Q794" s="17"/>
      <c r="R794" s="4"/>
      <c r="S794" s="39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8"/>
      <c r="O795" s="4"/>
      <c r="P795" s="38"/>
      <c r="Q795" s="17"/>
      <c r="R795" s="4"/>
      <c r="S795" s="39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8"/>
      <c r="O796" s="4"/>
      <c r="P796" s="38"/>
      <c r="Q796" s="17"/>
      <c r="R796" s="4"/>
      <c r="S796" s="39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8"/>
      <c r="O797" s="4"/>
      <c r="P797" s="38"/>
      <c r="Q797" s="17"/>
      <c r="R797" s="4"/>
      <c r="S797" s="39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8"/>
      <c r="O798" s="4"/>
      <c r="P798" s="38"/>
      <c r="Q798" s="17"/>
      <c r="R798" s="4"/>
      <c r="S798" s="39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8"/>
      <c r="O799" s="4"/>
      <c r="P799" s="38"/>
      <c r="Q799" s="17"/>
      <c r="R799" s="4"/>
      <c r="S799" s="39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8"/>
      <c r="O800" s="4"/>
      <c r="P800" s="38"/>
      <c r="Q800" s="17"/>
      <c r="R800" s="4"/>
      <c r="S800" s="39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8"/>
      <c r="O801" s="4"/>
      <c r="P801" s="38"/>
      <c r="Q801" s="17"/>
      <c r="R801" s="4"/>
      <c r="S801" s="39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8"/>
      <c r="O802" s="4"/>
      <c r="P802" s="38"/>
      <c r="Q802" s="17"/>
      <c r="R802" s="4"/>
      <c r="S802" s="39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8"/>
      <c r="O803" s="4"/>
      <c r="P803" s="38"/>
      <c r="Q803" s="17"/>
      <c r="R803" s="4"/>
      <c r="S803" s="39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8"/>
      <c r="O804" s="4"/>
      <c r="P804" s="38"/>
      <c r="Q804" s="17"/>
      <c r="R804" s="4"/>
      <c r="S804" s="39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8"/>
      <c r="O805" s="4"/>
      <c r="P805" s="38"/>
      <c r="Q805" s="17"/>
      <c r="R805" s="4"/>
      <c r="S805" s="39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8"/>
      <c r="O806" s="4"/>
      <c r="P806" s="38"/>
      <c r="Q806" s="17"/>
      <c r="R806" s="4"/>
      <c r="S806" s="39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8"/>
      <c r="O807" s="4"/>
      <c r="P807" s="38"/>
      <c r="Q807" s="17"/>
      <c r="R807" s="4"/>
      <c r="S807" s="39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8"/>
      <c r="O808" s="4"/>
      <c r="P808" s="38"/>
      <c r="Q808" s="17"/>
      <c r="R808" s="4"/>
      <c r="S808" s="39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8"/>
      <c r="O809" s="4"/>
      <c r="P809" s="38"/>
      <c r="Q809" s="17"/>
      <c r="R809" s="4"/>
      <c r="S809" s="39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8"/>
      <c r="O810" s="4"/>
      <c r="P810" s="38"/>
      <c r="Q810" s="17"/>
      <c r="R810" s="4"/>
      <c r="S810" s="39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8"/>
      <c r="O811" s="4"/>
      <c r="P811" s="38"/>
      <c r="Q811" s="17"/>
      <c r="R811" s="4"/>
      <c r="S811" s="39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8"/>
      <c r="O812" s="4"/>
      <c r="P812" s="38"/>
      <c r="Q812" s="17"/>
      <c r="R812" s="4"/>
      <c r="S812" s="39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8"/>
      <c r="O813" s="4"/>
      <c r="P813" s="38"/>
      <c r="Q813" s="17"/>
      <c r="R813" s="4"/>
      <c r="S813" s="39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8"/>
      <c r="O814" s="4"/>
      <c r="P814" s="38"/>
      <c r="Q814" s="17"/>
      <c r="R814" s="4"/>
      <c r="S814" s="39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8"/>
      <c r="O815" s="4"/>
      <c r="P815" s="38"/>
      <c r="Q815" s="17"/>
      <c r="R815" s="4"/>
      <c r="S815" s="39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8"/>
      <c r="O816" s="4"/>
      <c r="P816" s="38"/>
      <c r="Q816" s="17"/>
      <c r="R816" s="4"/>
      <c r="S816" s="39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8"/>
      <c r="O817" s="4"/>
      <c r="P817" s="38"/>
      <c r="Q817" s="17"/>
      <c r="R817" s="4"/>
      <c r="S817" s="39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8"/>
      <c r="O818" s="4"/>
      <c r="P818" s="38"/>
      <c r="Q818" s="17"/>
      <c r="R818" s="4"/>
      <c r="S818" s="39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8"/>
      <c r="O819" s="4"/>
      <c r="P819" s="38"/>
      <c r="Q819" s="17"/>
      <c r="R819" s="4"/>
      <c r="S819" s="39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8"/>
      <c r="O820" s="4"/>
      <c r="P820" s="38"/>
      <c r="Q820" s="17"/>
      <c r="R820" s="4"/>
      <c r="S820" s="39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8"/>
      <c r="O821" s="4"/>
      <c r="P821" s="38"/>
      <c r="Q821" s="17"/>
      <c r="R821" s="4"/>
      <c r="S821" s="39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8"/>
      <c r="O822" s="4"/>
      <c r="P822" s="38"/>
      <c r="Q822" s="17"/>
      <c r="R822" s="4"/>
      <c r="S822" s="39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8"/>
      <c r="O823" s="4"/>
      <c r="P823" s="38"/>
      <c r="Q823" s="17"/>
      <c r="R823" s="4"/>
      <c r="S823" s="39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8"/>
      <c r="O824" s="4"/>
      <c r="P824" s="38"/>
      <c r="Q824" s="17"/>
      <c r="R824" s="4"/>
      <c r="S824" s="39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8"/>
      <c r="O825" s="4"/>
      <c r="P825" s="38"/>
      <c r="Q825" s="17"/>
      <c r="R825" s="4"/>
      <c r="S825" s="39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8"/>
      <c r="O826" s="4"/>
      <c r="P826" s="38"/>
      <c r="Q826" s="17"/>
      <c r="R826" s="4"/>
      <c r="S826" s="39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8"/>
      <c r="O827" s="4"/>
      <c r="P827" s="38"/>
      <c r="Q827" s="17"/>
      <c r="R827" s="4"/>
      <c r="S827" s="39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8"/>
      <c r="O828" s="4"/>
      <c r="P828" s="38"/>
      <c r="Q828" s="17"/>
      <c r="R828" s="4"/>
      <c r="S828" s="39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8"/>
      <c r="O829" s="4"/>
      <c r="P829" s="38"/>
      <c r="Q829" s="17"/>
      <c r="R829" s="4"/>
      <c r="S829" s="39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8"/>
      <c r="O830" s="4"/>
      <c r="P830" s="38"/>
      <c r="Q830" s="17"/>
      <c r="R830" s="4"/>
      <c r="S830" s="39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8"/>
      <c r="O831" s="4"/>
      <c r="P831" s="38"/>
      <c r="Q831" s="17"/>
      <c r="R831" s="4"/>
      <c r="S831" s="39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8"/>
      <c r="O832" s="4"/>
      <c r="P832" s="38"/>
      <c r="Q832" s="17"/>
      <c r="R832" s="4"/>
      <c r="S832" s="39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8"/>
      <c r="O833" s="4"/>
      <c r="P833" s="38"/>
      <c r="Q833" s="17"/>
      <c r="R833" s="4"/>
      <c r="S833" s="39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8"/>
      <c r="O834" s="4"/>
      <c r="P834" s="38"/>
      <c r="Q834" s="17"/>
      <c r="R834" s="4"/>
      <c r="S834" s="39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8"/>
      <c r="O835" s="4"/>
      <c r="P835" s="38"/>
      <c r="Q835" s="17"/>
      <c r="R835" s="4"/>
      <c r="S835" s="39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8"/>
      <c r="O836" s="4"/>
      <c r="P836" s="38"/>
      <c r="Q836" s="17"/>
      <c r="R836" s="4"/>
      <c r="S836" s="39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8"/>
      <c r="O837" s="4"/>
      <c r="P837" s="38"/>
      <c r="Q837" s="17"/>
      <c r="R837" s="4"/>
      <c r="S837" s="39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8"/>
      <c r="O838" s="4"/>
      <c r="P838" s="38"/>
      <c r="Q838" s="17"/>
      <c r="R838" s="4"/>
      <c r="S838" s="39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8"/>
      <c r="O839" s="4"/>
      <c r="P839" s="38"/>
      <c r="Q839" s="17"/>
      <c r="R839" s="4"/>
      <c r="S839" s="39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8"/>
      <c r="O840" s="4"/>
      <c r="P840" s="38"/>
      <c r="Q840" s="17"/>
      <c r="R840" s="4"/>
      <c r="S840" s="39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8"/>
      <c r="O841" s="4"/>
      <c r="P841" s="38"/>
      <c r="Q841" s="17"/>
      <c r="R841" s="4"/>
      <c r="S841" s="39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8"/>
      <c r="O842" s="4"/>
      <c r="P842" s="38"/>
      <c r="Q842" s="17"/>
      <c r="R842" s="4"/>
      <c r="S842" s="39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8"/>
      <c r="O843" s="4"/>
      <c r="P843" s="38"/>
      <c r="Q843" s="17"/>
      <c r="R843" s="4"/>
      <c r="S843" s="39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8"/>
      <c r="O844" s="4"/>
      <c r="P844" s="38"/>
      <c r="Q844" s="17"/>
      <c r="R844" s="4"/>
      <c r="S844" s="39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8"/>
      <c r="O845" s="4"/>
      <c r="P845" s="38"/>
      <c r="Q845" s="17"/>
      <c r="R845" s="4"/>
      <c r="S845" s="39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8"/>
      <c r="O846" s="4"/>
      <c r="P846" s="38"/>
      <c r="Q846" s="17"/>
      <c r="R846" s="4"/>
      <c r="S846" s="39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8"/>
      <c r="O847" s="4"/>
      <c r="P847" s="38"/>
      <c r="Q847" s="17"/>
      <c r="R847" s="4"/>
      <c r="S847" s="39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8"/>
      <c r="O848" s="4"/>
      <c r="P848" s="38"/>
      <c r="Q848" s="17"/>
      <c r="R848" s="4"/>
      <c r="S848" s="39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8"/>
      <c r="O849" s="4"/>
      <c r="P849" s="38"/>
      <c r="Q849" s="17"/>
      <c r="R849" s="4"/>
      <c r="S849" s="39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8"/>
      <c r="O850" s="4"/>
      <c r="P850" s="38"/>
      <c r="Q850" s="17"/>
      <c r="R850" s="4"/>
      <c r="S850" s="39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8"/>
      <c r="O851" s="4"/>
      <c r="P851" s="38"/>
      <c r="Q851" s="17"/>
      <c r="R851" s="4"/>
      <c r="S851" s="39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8"/>
      <c r="O852" s="4"/>
      <c r="P852" s="38"/>
      <c r="Q852" s="17"/>
      <c r="R852" s="4"/>
      <c r="S852" s="39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8"/>
      <c r="O853" s="4"/>
      <c r="P853" s="38"/>
      <c r="Q853" s="17"/>
      <c r="R853" s="4"/>
      <c r="S853" s="39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8"/>
      <c r="O854" s="4"/>
      <c r="P854" s="38"/>
      <c r="Q854" s="17"/>
      <c r="R854" s="4"/>
      <c r="S854" s="39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8"/>
      <c r="O855" s="4"/>
      <c r="P855" s="38"/>
      <c r="Q855" s="17"/>
      <c r="R855" s="4"/>
      <c r="S855" s="39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8"/>
      <c r="O856" s="4"/>
      <c r="P856" s="38"/>
      <c r="Q856" s="17"/>
      <c r="R856" s="4"/>
      <c r="S856" s="39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8"/>
      <c r="O857" s="4"/>
      <c r="P857" s="38"/>
      <c r="Q857" s="17"/>
      <c r="R857" s="4"/>
      <c r="S857" s="39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8"/>
      <c r="O858" s="4"/>
      <c r="P858" s="38"/>
      <c r="Q858" s="17"/>
      <c r="R858" s="4"/>
      <c r="S858" s="39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8"/>
      <c r="O859" s="4"/>
      <c r="P859" s="38"/>
      <c r="Q859" s="17"/>
      <c r="R859" s="4"/>
      <c r="S859" s="39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8"/>
      <c r="O860" s="4"/>
      <c r="P860" s="38"/>
      <c r="Q860" s="17"/>
      <c r="R860" s="4"/>
      <c r="S860" s="39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8"/>
      <c r="O861" s="4"/>
      <c r="P861" s="38"/>
      <c r="Q861" s="17"/>
      <c r="R861" s="4"/>
      <c r="S861" s="39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8"/>
      <c r="O862" s="4"/>
      <c r="P862" s="38"/>
      <c r="Q862" s="17"/>
      <c r="R862" s="4"/>
      <c r="S862" s="39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8"/>
      <c r="O863" s="4"/>
      <c r="P863" s="38"/>
      <c r="Q863" s="17"/>
      <c r="R863" s="4"/>
      <c r="S863" s="39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8"/>
      <c r="O864" s="4"/>
      <c r="P864" s="38"/>
      <c r="Q864" s="17"/>
      <c r="R864" s="4"/>
      <c r="S864" s="39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8"/>
      <c r="O865" s="4"/>
      <c r="P865" s="38"/>
      <c r="Q865" s="17"/>
      <c r="R865" s="4"/>
      <c r="S865" s="39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8"/>
      <c r="O866" s="4"/>
      <c r="P866" s="38"/>
      <c r="Q866" s="17"/>
      <c r="R866" s="4"/>
      <c r="S866" s="39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8"/>
      <c r="O867" s="4"/>
      <c r="P867" s="38"/>
      <c r="Q867" s="17"/>
      <c r="R867" s="4"/>
      <c r="S867" s="39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8"/>
      <c r="O868" s="4"/>
      <c r="P868" s="38"/>
      <c r="Q868" s="17"/>
      <c r="R868" s="4"/>
      <c r="S868" s="39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8"/>
      <c r="O869" s="4"/>
      <c r="P869" s="38"/>
      <c r="Q869" s="17"/>
      <c r="R869" s="4"/>
      <c r="S869" s="39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8"/>
      <c r="O870" s="4"/>
      <c r="P870" s="38"/>
      <c r="Q870" s="17"/>
      <c r="R870" s="4"/>
      <c r="S870" s="39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8"/>
      <c r="O871" s="4"/>
      <c r="P871" s="38"/>
      <c r="Q871" s="17"/>
      <c r="R871" s="4"/>
      <c r="S871" s="39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8"/>
      <c r="O872" s="4"/>
      <c r="P872" s="38"/>
      <c r="Q872" s="17"/>
      <c r="R872" s="4"/>
      <c r="S872" s="39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8"/>
      <c r="O873" s="4"/>
      <c r="P873" s="38"/>
      <c r="Q873" s="17"/>
      <c r="R873" s="4"/>
      <c r="S873" s="39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8"/>
      <c r="O874" s="4"/>
      <c r="P874" s="38"/>
      <c r="Q874" s="17"/>
      <c r="R874" s="4"/>
      <c r="S874" s="39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8"/>
      <c r="O875" s="4"/>
      <c r="P875" s="38"/>
      <c r="Q875" s="17"/>
      <c r="R875" s="4"/>
      <c r="S875" s="39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8"/>
      <c r="O876" s="4"/>
      <c r="P876" s="38"/>
      <c r="Q876" s="17"/>
      <c r="R876" s="4"/>
      <c r="S876" s="39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8"/>
      <c r="O877" s="4"/>
      <c r="P877" s="38"/>
      <c r="Q877" s="17"/>
      <c r="R877" s="4"/>
      <c r="S877" s="39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8"/>
      <c r="O878" s="4"/>
      <c r="P878" s="38"/>
      <c r="Q878" s="17"/>
      <c r="R878" s="4"/>
      <c r="S878" s="39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8"/>
      <c r="O879" s="4"/>
      <c r="P879" s="38"/>
      <c r="Q879" s="17"/>
      <c r="R879" s="4"/>
      <c r="S879" s="39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8"/>
      <c r="O880" s="4"/>
      <c r="P880" s="38"/>
      <c r="Q880" s="17"/>
      <c r="R880" s="4"/>
      <c r="S880" s="39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8"/>
      <c r="O881" s="4"/>
      <c r="P881" s="38"/>
      <c r="Q881" s="17"/>
      <c r="R881" s="4"/>
      <c r="S881" s="39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8"/>
      <c r="O882" s="4"/>
      <c r="P882" s="38"/>
      <c r="Q882" s="17"/>
      <c r="R882" s="4"/>
      <c r="S882" s="39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8"/>
      <c r="O883" s="4"/>
      <c r="P883" s="38"/>
      <c r="Q883" s="17"/>
      <c r="R883" s="4"/>
      <c r="S883" s="39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8"/>
      <c r="O884" s="4"/>
      <c r="P884" s="38"/>
      <c r="Q884" s="17"/>
      <c r="R884" s="4"/>
      <c r="S884" s="39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8"/>
      <c r="O885" s="4"/>
      <c r="P885" s="38"/>
      <c r="Q885" s="17"/>
      <c r="R885" s="4"/>
      <c r="S885" s="39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8"/>
      <c r="O886" s="4"/>
      <c r="P886" s="38"/>
      <c r="Q886" s="17"/>
      <c r="R886" s="4"/>
      <c r="S886" s="39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8"/>
      <c r="O887" s="4"/>
      <c r="P887" s="38"/>
      <c r="Q887" s="17"/>
      <c r="R887" s="4"/>
      <c r="S887" s="39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8"/>
      <c r="O888" s="4"/>
      <c r="P888" s="38"/>
      <c r="Q888" s="17"/>
      <c r="R888" s="4"/>
      <c r="S888" s="39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8"/>
      <c r="O889" s="4"/>
      <c r="P889" s="38"/>
      <c r="Q889" s="17"/>
      <c r="R889" s="4"/>
      <c r="S889" s="39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8"/>
      <c r="O890" s="4"/>
      <c r="P890" s="38"/>
      <c r="Q890" s="17"/>
      <c r="R890" s="4"/>
      <c r="S890" s="39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8"/>
      <c r="O891" s="4"/>
      <c r="P891" s="38"/>
      <c r="Q891" s="17"/>
      <c r="R891" s="4"/>
      <c r="S891" s="39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8"/>
      <c r="O892" s="4"/>
      <c r="P892" s="38"/>
      <c r="Q892" s="17"/>
      <c r="R892" s="4"/>
      <c r="S892" s="39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8"/>
      <c r="O893" s="4"/>
      <c r="P893" s="38"/>
      <c r="Q893" s="17"/>
      <c r="R893" s="4"/>
      <c r="S893" s="39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8"/>
      <c r="O894" s="4"/>
      <c r="P894" s="38"/>
      <c r="Q894" s="17"/>
      <c r="R894" s="4"/>
      <c r="S894" s="39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8"/>
      <c r="O895" s="4"/>
      <c r="P895" s="38"/>
      <c r="Q895" s="17"/>
      <c r="R895" s="4"/>
      <c r="S895" s="39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8"/>
      <c r="O896" s="4"/>
      <c r="P896" s="38"/>
      <c r="Q896" s="17"/>
      <c r="R896" s="4"/>
      <c r="S896" s="39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8"/>
      <c r="O897" s="4"/>
      <c r="P897" s="38"/>
      <c r="Q897" s="17"/>
      <c r="R897" s="4"/>
      <c r="S897" s="39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8"/>
      <c r="O898" s="4"/>
      <c r="P898" s="38"/>
      <c r="Q898" s="17"/>
      <c r="R898" s="4"/>
      <c r="S898" s="39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8"/>
      <c r="O899" s="4"/>
      <c r="P899" s="38"/>
      <c r="Q899" s="17"/>
      <c r="R899" s="4"/>
      <c r="S899" s="39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8"/>
      <c r="O900" s="4"/>
      <c r="P900" s="38"/>
      <c r="Q900" s="17"/>
      <c r="R900" s="4"/>
      <c r="S900" s="39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8"/>
      <c r="O901" s="4"/>
      <c r="P901" s="38"/>
      <c r="Q901" s="17"/>
      <c r="R901" s="4"/>
      <c r="S901" s="39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8"/>
      <c r="O902" s="4"/>
      <c r="P902" s="38"/>
      <c r="Q902" s="17"/>
      <c r="R902" s="4"/>
      <c r="S902" s="39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8"/>
      <c r="O903" s="4"/>
      <c r="P903" s="38"/>
      <c r="Q903" s="17"/>
      <c r="R903" s="4"/>
      <c r="S903" s="39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8"/>
      <c r="O904" s="4"/>
      <c r="P904" s="38"/>
      <c r="Q904" s="17"/>
      <c r="R904" s="4"/>
      <c r="S904" s="39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8"/>
      <c r="O905" s="4"/>
      <c r="P905" s="38"/>
      <c r="Q905" s="17"/>
      <c r="R905" s="4"/>
      <c r="S905" s="39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8"/>
      <c r="O906" s="4"/>
      <c r="P906" s="38"/>
      <c r="Q906" s="17"/>
      <c r="R906" s="4"/>
      <c r="S906" s="39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8"/>
      <c r="O907" s="4"/>
      <c r="P907" s="38"/>
      <c r="Q907" s="17"/>
      <c r="R907" s="4"/>
      <c r="S907" s="39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8"/>
      <c r="O908" s="4"/>
      <c r="P908" s="38"/>
      <c r="Q908" s="17"/>
      <c r="R908" s="4"/>
      <c r="S908" s="39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8"/>
      <c r="O909" s="4"/>
      <c r="P909" s="38"/>
      <c r="Q909" s="17"/>
      <c r="R909" s="4"/>
      <c r="S909" s="39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8"/>
      <c r="O910" s="4"/>
      <c r="P910" s="38"/>
      <c r="Q910" s="17"/>
      <c r="R910" s="4"/>
      <c r="S910" s="39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8"/>
      <c r="O911" s="4"/>
      <c r="P911" s="38"/>
      <c r="Q911" s="17"/>
      <c r="R911" s="4"/>
      <c r="S911" s="39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8"/>
      <c r="O912" s="4"/>
      <c r="P912" s="38"/>
      <c r="Q912" s="17"/>
      <c r="R912" s="4"/>
      <c r="S912" s="39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8"/>
      <c r="O913" s="4"/>
      <c r="P913" s="38"/>
      <c r="Q913" s="17"/>
      <c r="R913" s="4"/>
      <c r="S913" s="39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8"/>
      <c r="O914" s="4"/>
      <c r="P914" s="38"/>
      <c r="Q914" s="17"/>
      <c r="R914" s="4"/>
      <c r="S914" s="39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8"/>
      <c r="O915" s="4"/>
      <c r="P915" s="38"/>
      <c r="Q915" s="17"/>
      <c r="R915" s="4"/>
      <c r="S915" s="39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8"/>
      <c r="O916" s="4"/>
      <c r="P916" s="38"/>
      <c r="Q916" s="17"/>
      <c r="R916" s="4"/>
      <c r="S916" s="39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8"/>
      <c r="O917" s="4"/>
      <c r="P917" s="38"/>
      <c r="Q917" s="17"/>
      <c r="R917" s="4"/>
      <c r="S917" s="39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8"/>
      <c r="O918" s="4"/>
      <c r="P918" s="38"/>
      <c r="Q918" s="17"/>
      <c r="R918" s="4"/>
      <c r="S918" s="39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8"/>
      <c r="O919" s="4"/>
      <c r="P919" s="38"/>
      <c r="Q919" s="17"/>
      <c r="R919" s="4"/>
      <c r="S919" s="39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8"/>
      <c r="O920" s="4"/>
      <c r="P920" s="38"/>
      <c r="Q920" s="17"/>
      <c r="R920" s="4"/>
      <c r="S920" s="39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8"/>
      <c r="O921" s="4"/>
      <c r="P921" s="38"/>
      <c r="Q921" s="17"/>
      <c r="R921" s="4"/>
      <c r="S921" s="39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8"/>
      <c r="O922" s="4"/>
      <c r="P922" s="38"/>
      <c r="Q922" s="17"/>
      <c r="R922" s="4"/>
      <c r="S922" s="39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8"/>
      <c r="O923" s="4"/>
      <c r="P923" s="38"/>
      <c r="Q923" s="17"/>
      <c r="R923" s="4"/>
      <c r="S923" s="39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8"/>
      <c r="O924" s="4"/>
      <c r="P924" s="38"/>
      <c r="Q924" s="17"/>
      <c r="R924" s="4"/>
      <c r="S924" s="39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8"/>
      <c r="O925" s="4"/>
      <c r="P925" s="38"/>
      <c r="Q925" s="17"/>
      <c r="R925" s="4"/>
      <c r="S925" s="39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8"/>
      <c r="O926" s="4"/>
      <c r="P926" s="38"/>
      <c r="Q926" s="17"/>
      <c r="R926" s="4"/>
      <c r="S926" s="39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8"/>
      <c r="O927" s="4"/>
      <c r="P927" s="38"/>
      <c r="Q927" s="17"/>
      <c r="R927" s="4"/>
      <c r="S927" s="39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8"/>
      <c r="O928" s="4"/>
      <c r="P928" s="38"/>
      <c r="Q928" s="17"/>
      <c r="R928" s="4"/>
      <c r="S928" s="39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8"/>
      <c r="O929" s="4"/>
      <c r="P929" s="38"/>
      <c r="Q929" s="17"/>
      <c r="R929" s="4"/>
      <c r="S929" s="39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8"/>
      <c r="O930" s="4"/>
      <c r="P930" s="38"/>
      <c r="Q930" s="17"/>
      <c r="R930" s="4"/>
      <c r="S930" s="39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8"/>
      <c r="O931" s="4"/>
      <c r="P931" s="38"/>
      <c r="Q931" s="17"/>
      <c r="R931" s="4"/>
      <c r="S931" s="39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8"/>
      <c r="O932" s="4"/>
      <c r="P932" s="38"/>
      <c r="Q932" s="17"/>
      <c r="R932" s="4"/>
      <c r="S932" s="39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8"/>
      <c r="O933" s="4"/>
      <c r="P933" s="38"/>
      <c r="Q933" s="17"/>
      <c r="R933" s="4"/>
      <c r="S933" s="39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8"/>
      <c r="O934" s="4"/>
      <c r="P934" s="38"/>
      <c r="Q934" s="17"/>
      <c r="R934" s="4"/>
      <c r="S934" s="39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8"/>
      <c r="O935" s="4"/>
      <c r="P935" s="38"/>
      <c r="Q935" s="17"/>
      <c r="R935" s="4"/>
      <c r="S935" s="39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8"/>
      <c r="O936" s="4"/>
      <c r="P936" s="38"/>
      <c r="Q936" s="17"/>
      <c r="R936" s="4"/>
      <c r="S936" s="39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8"/>
      <c r="O937" s="4"/>
      <c r="P937" s="38"/>
      <c r="Q937" s="17"/>
      <c r="R937" s="4"/>
      <c r="S937" s="39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8"/>
      <c r="O938" s="4"/>
      <c r="P938" s="38"/>
      <c r="Q938" s="17"/>
      <c r="R938" s="4"/>
      <c r="S938" s="39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8"/>
      <c r="O939" s="4"/>
      <c r="P939" s="38"/>
      <c r="Q939" s="17"/>
      <c r="R939" s="4"/>
      <c r="S939" s="39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8"/>
      <c r="O940" s="4"/>
      <c r="P940" s="38"/>
      <c r="Q940" s="17"/>
      <c r="R940" s="4"/>
      <c r="S940" s="39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8"/>
      <c r="O941" s="4"/>
      <c r="P941" s="38"/>
      <c r="Q941" s="17"/>
      <c r="R941" s="4"/>
      <c r="S941" s="39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</sheetData>
  <mergeCells count="2">
    <mergeCell ref="E5:H5"/>
    <mergeCell ref="I5:L5"/>
  </mergeCells>
  <conditionalFormatting sqref="V7:V56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Col="1" outlineLevelRow="1"/>
  <cols>
    <col customWidth="1" min="1" max="1" width="1.5"/>
    <col customWidth="1" min="2" max="2" width="1.38"/>
    <col customWidth="1" min="3" max="3" width="32.13"/>
    <col customWidth="1" min="4" max="4" width="31.63"/>
    <col customWidth="1" min="5" max="5" width="17.0"/>
    <col customWidth="1" min="6" max="7" width="15.25" outlineLevel="1"/>
    <col customWidth="1" min="8" max="9" width="15.5" outlineLevel="1"/>
  </cols>
  <sheetData>
    <row r="1" ht="14.25" customHeight="1">
      <c r="A1" s="176"/>
      <c r="B1" s="176"/>
      <c r="C1" s="177" t="s">
        <v>103</v>
      </c>
      <c r="D1" s="178"/>
      <c r="E1" s="178"/>
      <c r="F1" s="178"/>
      <c r="G1" s="178"/>
      <c r="H1" s="178"/>
      <c r="I1" s="178"/>
    </row>
    <row r="2" ht="39.75" customHeight="1">
      <c r="A2" s="176"/>
      <c r="B2" s="179"/>
      <c r="C2" s="180" t="s">
        <v>104</v>
      </c>
      <c r="D2" s="180" t="s">
        <v>38</v>
      </c>
      <c r="E2" s="181" t="s">
        <v>105</v>
      </c>
      <c r="F2" s="181" t="s">
        <v>106</v>
      </c>
      <c r="G2" s="181" t="s">
        <v>107</v>
      </c>
      <c r="H2" s="182" t="s">
        <v>108</v>
      </c>
      <c r="I2" s="183" t="s">
        <v>109</v>
      </c>
    </row>
    <row r="3" ht="14.25" customHeight="1">
      <c r="A3" s="176"/>
      <c r="B3" s="184"/>
      <c r="C3" s="185" t="s">
        <v>110</v>
      </c>
      <c r="D3" s="186"/>
      <c r="E3" s="186"/>
      <c r="F3" s="187"/>
      <c r="G3" s="186"/>
      <c r="H3" s="188"/>
      <c r="I3" s="189"/>
    </row>
    <row r="4" ht="14.25" customHeight="1" outlineLevel="1">
      <c r="A4" s="176"/>
      <c r="B4" s="190"/>
      <c r="C4" s="191" t="s">
        <v>54</v>
      </c>
      <c r="D4" s="191" t="s">
        <v>111</v>
      </c>
      <c r="E4" s="192" t="s">
        <v>112</v>
      </c>
      <c r="F4" s="193">
        <v>1.0</v>
      </c>
      <c r="G4" s="194">
        <v>10.0</v>
      </c>
      <c r="H4" s="195">
        <v>12310.076934374996</v>
      </c>
      <c r="I4" s="196">
        <v>9.909477183926915</v>
      </c>
    </row>
    <row r="5" ht="14.25" customHeight="1" outlineLevel="1">
      <c r="A5" s="176"/>
      <c r="B5" s="190"/>
      <c r="C5" s="191" t="s">
        <v>54</v>
      </c>
      <c r="D5" s="191" t="s">
        <v>113</v>
      </c>
      <c r="E5" s="192" t="s">
        <v>112</v>
      </c>
      <c r="F5" s="193">
        <v>1.0</v>
      </c>
      <c r="G5" s="194">
        <v>10.0</v>
      </c>
      <c r="H5" s="195">
        <v>7213.602520833333</v>
      </c>
      <c r="I5" s="196">
        <v>5.806871067921958</v>
      </c>
    </row>
    <row r="6" ht="14.25" customHeight="1" outlineLevel="1">
      <c r="A6" s="176"/>
      <c r="B6" s="190"/>
      <c r="C6" s="191" t="s">
        <v>54</v>
      </c>
      <c r="D6" s="192" t="s">
        <v>114</v>
      </c>
      <c r="E6" s="192" t="s">
        <v>115</v>
      </c>
      <c r="F6" s="193">
        <v>1.0</v>
      </c>
      <c r="G6" s="194">
        <v>2.0</v>
      </c>
      <c r="H6" s="195">
        <v>4628.4</v>
      </c>
      <c r="I6" s="196">
        <v>3.7258113367279275</v>
      </c>
    </row>
    <row r="7" ht="14.25" customHeight="1">
      <c r="A7" s="176"/>
      <c r="B7" s="184"/>
      <c r="C7" s="185" t="s">
        <v>116</v>
      </c>
      <c r="D7" s="186"/>
      <c r="E7" s="186"/>
      <c r="F7" s="187"/>
      <c r="G7" s="186"/>
      <c r="H7" s="188"/>
      <c r="I7" s="189"/>
    </row>
    <row r="8" ht="14.25" customHeight="1">
      <c r="A8" s="176"/>
      <c r="B8" s="190"/>
      <c r="C8" s="191" t="s">
        <v>56</v>
      </c>
      <c r="D8" s="191" t="s">
        <v>117</v>
      </c>
      <c r="E8" s="192" t="s">
        <v>112</v>
      </c>
      <c r="F8" s="193">
        <v>1.0</v>
      </c>
      <c r="G8" s="194">
        <v>50.0</v>
      </c>
      <c r="H8" s="195">
        <v>61550.384671874985</v>
      </c>
      <c r="I8" s="196">
        <v>49.54738591963458</v>
      </c>
    </row>
    <row r="9" ht="14.25" customHeight="1">
      <c r="A9" s="176"/>
      <c r="B9" s="190"/>
      <c r="C9" s="191" t="s">
        <v>56</v>
      </c>
      <c r="D9" s="191" t="s">
        <v>60</v>
      </c>
      <c r="E9" s="192" t="s">
        <v>112</v>
      </c>
      <c r="F9" s="193">
        <v>1.0</v>
      </c>
      <c r="G9" s="194">
        <v>25.0</v>
      </c>
      <c r="H9" s="195">
        <v>18034.006302083333</v>
      </c>
      <c r="I9" s="196">
        <v>14.517177669804896</v>
      </c>
    </row>
    <row r="10" ht="14.25" customHeight="1">
      <c r="A10" s="176"/>
      <c r="B10" s="190"/>
      <c r="C10" s="191" t="s">
        <v>56</v>
      </c>
      <c r="D10" s="191" t="s">
        <v>118</v>
      </c>
      <c r="E10" s="192" t="s">
        <v>112</v>
      </c>
      <c r="F10" s="193">
        <v>1.0</v>
      </c>
      <c r="G10" s="194">
        <v>25.0</v>
      </c>
      <c r="H10" s="195">
        <v>30775.192335937492</v>
      </c>
      <c r="I10" s="196">
        <v>24.77369295981729</v>
      </c>
    </row>
    <row r="11" ht="14.25" customHeight="1">
      <c r="A11" s="176"/>
      <c r="B11" s="190"/>
      <c r="C11" s="191" t="s">
        <v>56</v>
      </c>
      <c r="D11" s="191" t="s">
        <v>60</v>
      </c>
      <c r="E11" s="192" t="s">
        <v>112</v>
      </c>
      <c r="F11" s="193">
        <v>1.0</v>
      </c>
      <c r="G11" s="194">
        <v>12.5</v>
      </c>
      <c r="H11" s="195">
        <v>9017.003151041667</v>
      </c>
      <c r="I11" s="196">
        <v>7.258588834902448</v>
      </c>
    </row>
    <row r="12" ht="14.25" customHeight="1">
      <c r="A12" s="176"/>
      <c r="B12" s="190"/>
      <c r="C12" s="191" t="s">
        <v>56</v>
      </c>
      <c r="D12" s="192" t="s">
        <v>62</v>
      </c>
      <c r="E12" s="192" t="s">
        <v>115</v>
      </c>
      <c r="F12" s="193">
        <v>1.0</v>
      </c>
      <c r="G12" s="194">
        <v>10.0</v>
      </c>
      <c r="H12" s="195">
        <v>27794.285714285714</v>
      </c>
      <c r="I12" s="196">
        <v>22.37409575891038</v>
      </c>
    </row>
    <row r="13" ht="14.25" customHeight="1">
      <c r="A13" s="176"/>
      <c r="B13" s="190"/>
      <c r="C13" s="197" t="s">
        <v>56</v>
      </c>
      <c r="D13" s="198" t="s">
        <v>63</v>
      </c>
      <c r="E13" s="198" t="s">
        <v>115</v>
      </c>
      <c r="F13" s="199">
        <v>5.0</v>
      </c>
      <c r="G13" s="200">
        <v>5.0</v>
      </c>
      <c r="H13" s="201">
        <v>14031.041666666668</v>
      </c>
      <c r="I13" s="202">
        <v>11.29483495544218</v>
      </c>
    </row>
    <row r="14" ht="14.25" customHeight="1">
      <c r="A14" s="176"/>
      <c r="B14" s="190"/>
      <c r="C14" s="192" t="s">
        <v>57</v>
      </c>
      <c r="D14" s="191" t="s">
        <v>117</v>
      </c>
      <c r="E14" s="192" t="s">
        <v>112</v>
      </c>
      <c r="F14" s="193">
        <v>1.0</v>
      </c>
      <c r="G14" s="194">
        <v>50.0</v>
      </c>
      <c r="H14" s="195">
        <v>61550.384671874985</v>
      </c>
      <c r="I14" s="196">
        <v>49.54738591963458</v>
      </c>
    </row>
    <row r="15" ht="14.25" customHeight="1">
      <c r="A15" s="176"/>
      <c r="B15" s="190"/>
      <c r="C15" s="192" t="s">
        <v>57</v>
      </c>
      <c r="D15" s="191" t="s">
        <v>60</v>
      </c>
      <c r="E15" s="192" t="s">
        <v>112</v>
      </c>
      <c r="F15" s="193">
        <v>1.0</v>
      </c>
      <c r="G15" s="194">
        <v>25.0</v>
      </c>
      <c r="H15" s="195">
        <v>18034.006302083333</v>
      </c>
      <c r="I15" s="196">
        <v>14.517177669804896</v>
      </c>
    </row>
    <row r="16" ht="14.25" customHeight="1">
      <c r="A16" s="176"/>
      <c r="B16" s="190"/>
      <c r="C16" s="192" t="s">
        <v>57</v>
      </c>
      <c r="D16" s="192" t="s">
        <v>62</v>
      </c>
      <c r="E16" s="192" t="s">
        <v>115</v>
      </c>
      <c r="F16" s="193">
        <v>1.0</v>
      </c>
      <c r="G16" s="194">
        <v>10.0</v>
      </c>
      <c r="H16" s="195">
        <v>27794.285714285714</v>
      </c>
      <c r="I16" s="196">
        <v>22.37409575891038</v>
      </c>
    </row>
    <row r="17" ht="14.25" customHeight="1">
      <c r="A17" s="176"/>
      <c r="B17" s="190"/>
      <c r="C17" s="192" t="s">
        <v>58</v>
      </c>
      <c r="D17" s="191" t="s">
        <v>118</v>
      </c>
      <c r="E17" s="192" t="s">
        <v>112</v>
      </c>
      <c r="F17" s="193">
        <v>1.0</v>
      </c>
      <c r="G17" s="194">
        <v>25.0</v>
      </c>
      <c r="H17" s="195">
        <v>30775.192335937492</v>
      </c>
      <c r="I17" s="196">
        <v>24.77369295981729</v>
      </c>
    </row>
    <row r="18" ht="14.25" customHeight="1">
      <c r="A18" s="176"/>
      <c r="B18" s="190"/>
      <c r="C18" s="192" t="s">
        <v>58</v>
      </c>
      <c r="D18" s="191" t="s">
        <v>60</v>
      </c>
      <c r="E18" s="192" t="s">
        <v>112</v>
      </c>
      <c r="F18" s="193">
        <v>1.0</v>
      </c>
      <c r="G18" s="194">
        <v>12.5</v>
      </c>
      <c r="H18" s="195">
        <v>9017.003151041667</v>
      </c>
      <c r="I18" s="196">
        <v>7.258588834902448</v>
      </c>
    </row>
    <row r="19" ht="14.25" customHeight="1">
      <c r="A19" s="176"/>
      <c r="B19" s="190"/>
      <c r="C19" s="198" t="s">
        <v>58</v>
      </c>
      <c r="D19" s="198" t="s">
        <v>63</v>
      </c>
      <c r="E19" s="198" t="s">
        <v>115</v>
      </c>
      <c r="F19" s="199">
        <v>5.0</v>
      </c>
      <c r="G19" s="200">
        <v>5.0</v>
      </c>
      <c r="H19" s="201">
        <v>14031.041666666668</v>
      </c>
      <c r="I19" s="202">
        <v>11.29483495544218</v>
      </c>
    </row>
    <row r="20" ht="14.25" customHeight="1">
      <c r="A20" s="176"/>
      <c r="B20" s="190"/>
      <c r="C20" s="191" t="s">
        <v>111</v>
      </c>
      <c r="D20" s="191" t="s">
        <v>111</v>
      </c>
      <c r="E20" s="192" t="s">
        <v>112</v>
      </c>
      <c r="F20" s="193">
        <v>1.0</v>
      </c>
      <c r="G20" s="203">
        <v>10.0</v>
      </c>
      <c r="H20" s="195">
        <v>12310.076934374996</v>
      </c>
      <c r="I20" s="196">
        <v>9.909477183926915</v>
      </c>
    </row>
    <row r="21" ht="14.25" customHeight="1">
      <c r="A21" s="176"/>
      <c r="B21" s="190"/>
      <c r="C21" s="191" t="s">
        <v>118</v>
      </c>
      <c r="D21" s="191" t="s">
        <v>118</v>
      </c>
      <c r="E21" s="192" t="s">
        <v>112</v>
      </c>
      <c r="F21" s="194">
        <v>1.0</v>
      </c>
      <c r="G21" s="203">
        <v>25.0</v>
      </c>
      <c r="H21" s="204">
        <v>30775.192335937492</v>
      </c>
      <c r="I21" s="205">
        <v>24.77369295981729</v>
      </c>
    </row>
    <row r="22" ht="14.25" customHeight="1">
      <c r="A22" s="176"/>
      <c r="B22" s="190"/>
      <c r="C22" s="191" t="s">
        <v>117</v>
      </c>
      <c r="D22" s="191" t="s">
        <v>117</v>
      </c>
      <c r="E22" s="192" t="s">
        <v>112</v>
      </c>
      <c r="F22" s="194">
        <v>1.0</v>
      </c>
      <c r="G22" s="203">
        <v>50.0</v>
      </c>
      <c r="H22" s="204">
        <v>61550.384671874985</v>
      </c>
      <c r="I22" s="205">
        <v>49.54738591963458</v>
      </c>
    </row>
    <row r="23" ht="14.25" customHeight="1">
      <c r="A23" s="176"/>
      <c r="B23" s="190"/>
      <c r="C23" s="191" t="s">
        <v>113</v>
      </c>
      <c r="D23" s="191" t="s">
        <v>113</v>
      </c>
      <c r="E23" s="192" t="s">
        <v>112</v>
      </c>
      <c r="F23" s="194">
        <v>1.0</v>
      </c>
      <c r="G23" s="203">
        <v>10.0</v>
      </c>
      <c r="H23" s="204">
        <v>7213.602520833333</v>
      </c>
      <c r="I23" s="205">
        <v>5.806871067921958</v>
      </c>
    </row>
    <row r="24" ht="14.25" customHeight="1">
      <c r="A24" s="176"/>
      <c r="B24" s="190"/>
      <c r="C24" s="191" t="s">
        <v>61</v>
      </c>
      <c r="D24" s="191" t="s">
        <v>61</v>
      </c>
      <c r="E24" s="192" t="s">
        <v>112</v>
      </c>
      <c r="F24" s="194">
        <v>1.0</v>
      </c>
      <c r="G24" s="203">
        <v>12.5</v>
      </c>
      <c r="H24" s="204">
        <v>9017.003151041667</v>
      </c>
      <c r="I24" s="205">
        <v>7.258588834902448</v>
      </c>
    </row>
    <row r="25" ht="14.25" customHeight="1">
      <c r="A25" s="176"/>
      <c r="B25" s="190"/>
      <c r="C25" s="191" t="s">
        <v>60</v>
      </c>
      <c r="D25" s="191" t="s">
        <v>60</v>
      </c>
      <c r="E25" s="192" t="s">
        <v>112</v>
      </c>
      <c r="F25" s="194">
        <v>1.0</v>
      </c>
      <c r="G25" s="203">
        <v>25.0</v>
      </c>
      <c r="H25" s="204">
        <v>18034.006302083333</v>
      </c>
      <c r="I25" s="205">
        <v>14.517177669804896</v>
      </c>
    </row>
    <row r="26" ht="14.25" customHeight="1">
      <c r="A26" s="176"/>
      <c r="B26" s="190"/>
      <c r="C26" s="198" t="s">
        <v>119</v>
      </c>
      <c r="D26" s="198" t="s">
        <v>119</v>
      </c>
      <c r="E26" s="198" t="s">
        <v>112</v>
      </c>
      <c r="F26" s="199">
        <v>1.0</v>
      </c>
      <c r="G26" s="206">
        <v>50.0</v>
      </c>
      <c r="H26" s="201">
        <v>36068.012604166666</v>
      </c>
      <c r="I26" s="202">
        <v>29.034355339609792</v>
      </c>
    </row>
    <row r="27" ht="14.25" customHeight="1">
      <c r="A27" s="176"/>
      <c r="B27" s="184"/>
      <c r="C27" s="191" t="s">
        <v>120</v>
      </c>
      <c r="D27" s="191" t="s">
        <v>120</v>
      </c>
      <c r="E27" s="192" t="s">
        <v>115</v>
      </c>
      <c r="F27" s="193">
        <v>1.0</v>
      </c>
      <c r="G27" s="203">
        <v>2.0</v>
      </c>
      <c r="H27" s="195">
        <v>6000.0</v>
      </c>
      <c r="I27" s="196">
        <v>4.829934322955571</v>
      </c>
    </row>
    <row r="28" ht="14.25" customHeight="1">
      <c r="A28" s="176"/>
      <c r="B28" s="184"/>
      <c r="C28" s="191" t="s">
        <v>121</v>
      </c>
      <c r="D28" s="191" t="s">
        <v>121</v>
      </c>
      <c r="E28" s="192" t="s">
        <v>115</v>
      </c>
      <c r="F28" s="193">
        <v>1.0</v>
      </c>
      <c r="G28" s="203">
        <v>5.0</v>
      </c>
      <c r="H28" s="195">
        <v>15000.000000000002</v>
      </c>
      <c r="I28" s="196">
        <v>12.07483580738893</v>
      </c>
    </row>
    <row r="29" ht="14.25" customHeight="1">
      <c r="A29" s="176"/>
      <c r="B29" s="184"/>
      <c r="C29" s="191" t="s">
        <v>122</v>
      </c>
      <c r="D29" s="191" t="s">
        <v>122</v>
      </c>
      <c r="E29" s="192" t="s">
        <v>115</v>
      </c>
      <c r="F29" s="193">
        <v>1.0</v>
      </c>
      <c r="G29" s="194">
        <v>10.0</v>
      </c>
      <c r="H29" s="195">
        <v>30000.000000000004</v>
      </c>
      <c r="I29" s="196">
        <v>24.14967161477786</v>
      </c>
    </row>
    <row r="30" ht="14.25" customHeight="1">
      <c r="A30" s="176"/>
      <c r="B30" s="184"/>
      <c r="C30" s="191" t="s">
        <v>123</v>
      </c>
      <c r="D30" s="191" t="s">
        <v>123</v>
      </c>
      <c r="E30" s="192" t="s">
        <v>115</v>
      </c>
      <c r="F30" s="193">
        <v>1.0</v>
      </c>
      <c r="G30" s="203">
        <v>5.0</v>
      </c>
      <c r="H30" s="195">
        <v>13581.249999999998</v>
      </c>
      <c r="I30" s="196">
        <v>10.932757587273391</v>
      </c>
    </row>
    <row r="31" ht="14.25" customHeight="1">
      <c r="A31" s="176"/>
      <c r="B31" s="184"/>
      <c r="C31" s="191" t="s">
        <v>124</v>
      </c>
      <c r="D31" s="191" t="s">
        <v>124</v>
      </c>
      <c r="E31" s="192" t="s">
        <v>115</v>
      </c>
      <c r="F31" s="193">
        <v>1.0</v>
      </c>
      <c r="G31" s="203">
        <v>10.0</v>
      </c>
      <c r="H31" s="195">
        <v>26912.5</v>
      </c>
      <c r="I31" s="196">
        <v>21.664267911090302</v>
      </c>
    </row>
    <row r="32" ht="14.25" customHeight="1">
      <c r="A32" s="176"/>
      <c r="B32" s="184"/>
      <c r="C32" s="191" t="s">
        <v>125</v>
      </c>
      <c r="D32" s="191" t="s">
        <v>125</v>
      </c>
      <c r="E32" s="192" t="s">
        <v>115</v>
      </c>
      <c r="F32" s="193">
        <v>1.0</v>
      </c>
      <c r="G32" s="203">
        <v>2.0</v>
      </c>
      <c r="H32" s="195">
        <v>5570.0</v>
      </c>
      <c r="I32" s="196">
        <v>4.483789029810422</v>
      </c>
    </row>
    <row r="33" ht="14.25" customHeight="1">
      <c r="A33" s="176"/>
      <c r="B33" s="184"/>
      <c r="C33" s="191" t="s">
        <v>126</v>
      </c>
      <c r="D33" s="191" t="s">
        <v>126</v>
      </c>
      <c r="E33" s="192" t="s">
        <v>115</v>
      </c>
      <c r="F33" s="193">
        <v>1.0</v>
      </c>
      <c r="G33" s="203">
        <v>5.0</v>
      </c>
      <c r="H33" s="195">
        <v>13581.249999999998</v>
      </c>
      <c r="I33" s="196">
        <v>10.932757587273391</v>
      </c>
    </row>
    <row r="34" ht="14.25" customHeight="1">
      <c r="A34" s="176"/>
      <c r="B34" s="184"/>
      <c r="C34" s="191" t="s">
        <v>127</v>
      </c>
      <c r="D34" s="191" t="s">
        <v>127</v>
      </c>
      <c r="E34" s="192" t="s">
        <v>115</v>
      </c>
      <c r="F34" s="193">
        <v>1.0</v>
      </c>
      <c r="G34" s="203">
        <v>10.0</v>
      </c>
      <c r="H34" s="195">
        <v>26912.5</v>
      </c>
      <c r="I34" s="196">
        <v>21.664267911090302</v>
      </c>
    </row>
    <row r="35" ht="14.25" customHeight="1">
      <c r="A35" s="176"/>
      <c r="B35" s="184"/>
      <c r="C35" s="191" t="s">
        <v>128</v>
      </c>
      <c r="D35" s="191" t="s">
        <v>128</v>
      </c>
      <c r="E35" s="192" t="s">
        <v>115</v>
      </c>
      <c r="F35" s="193">
        <v>1.0</v>
      </c>
      <c r="G35" s="203">
        <v>5.0</v>
      </c>
      <c r="H35" s="195">
        <v>13093.75</v>
      </c>
      <c r="I35" s="196">
        <v>10.540325423533252</v>
      </c>
    </row>
    <row r="36" ht="14.25" customHeight="1">
      <c r="A36" s="176"/>
      <c r="B36" s="184"/>
      <c r="C36" s="191" t="s">
        <v>129</v>
      </c>
      <c r="D36" s="191" t="s">
        <v>129</v>
      </c>
      <c r="E36" s="192" t="s">
        <v>115</v>
      </c>
      <c r="F36" s="193">
        <v>1.0</v>
      </c>
      <c r="G36" s="203">
        <v>10.0</v>
      </c>
      <c r="H36" s="195">
        <v>25962.5</v>
      </c>
      <c r="I36" s="196">
        <v>20.89952830995567</v>
      </c>
    </row>
    <row r="37" ht="14.25" customHeight="1">
      <c r="A37" s="176"/>
      <c r="B37" s="184"/>
      <c r="C37" s="191" t="s">
        <v>130</v>
      </c>
      <c r="D37" s="191" t="s">
        <v>130</v>
      </c>
      <c r="E37" s="192" t="s">
        <v>115</v>
      </c>
      <c r="F37" s="193">
        <v>1.0</v>
      </c>
      <c r="G37" s="203">
        <v>2.0</v>
      </c>
      <c r="H37" s="195">
        <v>5786.0</v>
      </c>
      <c r="I37" s="196">
        <v>4.657666665436823</v>
      </c>
    </row>
    <row r="38" ht="14.25" customHeight="1">
      <c r="A38" s="176"/>
      <c r="B38" s="184"/>
      <c r="C38" s="191" t="s">
        <v>131</v>
      </c>
      <c r="D38" s="191" t="s">
        <v>131</v>
      </c>
      <c r="E38" s="192" t="s">
        <v>115</v>
      </c>
      <c r="F38" s="193">
        <v>1.0</v>
      </c>
      <c r="G38" s="203">
        <v>5.0</v>
      </c>
      <c r="H38" s="195">
        <v>14465.0</v>
      </c>
      <c r="I38" s="196">
        <v>11.644166663592056</v>
      </c>
    </row>
    <row r="39" ht="14.25" customHeight="1">
      <c r="A39" s="176"/>
      <c r="B39" s="184"/>
      <c r="C39" s="191" t="s">
        <v>132</v>
      </c>
      <c r="D39" s="191" t="s">
        <v>132</v>
      </c>
      <c r="E39" s="192" t="s">
        <v>115</v>
      </c>
      <c r="F39" s="193">
        <v>1.0</v>
      </c>
      <c r="G39" s="194">
        <v>10.0</v>
      </c>
      <c r="H39" s="195">
        <v>28930.0</v>
      </c>
      <c r="I39" s="196">
        <v>23.288333327184112</v>
      </c>
    </row>
    <row r="40" ht="14.25" customHeight="1">
      <c r="A40" s="176"/>
      <c r="B40" s="184"/>
      <c r="C40" s="191"/>
      <c r="D40" s="191"/>
      <c r="E40" s="192"/>
      <c r="F40" s="193"/>
      <c r="G40" s="194"/>
      <c r="H40" s="195"/>
      <c r="I40" s="196"/>
    </row>
    <row r="41" ht="14.25" customHeight="1">
      <c r="A41" s="176"/>
      <c r="B41" s="184"/>
      <c r="C41" s="191"/>
      <c r="D41" s="191"/>
      <c r="E41" s="192"/>
      <c r="F41" s="193"/>
      <c r="G41" s="194"/>
      <c r="H41" s="195"/>
      <c r="I41" s="196"/>
    </row>
    <row r="42" ht="14.25" customHeight="1">
      <c r="A42" s="176"/>
      <c r="B42" s="184"/>
      <c r="C42" s="192" t="s">
        <v>62</v>
      </c>
      <c r="D42" s="192" t="s">
        <v>62</v>
      </c>
      <c r="E42" s="192" t="s">
        <v>115</v>
      </c>
      <c r="F42" s="193">
        <v>1.0</v>
      </c>
      <c r="G42" s="194">
        <v>10.0</v>
      </c>
      <c r="H42" s="195">
        <v>27794.285714285714</v>
      </c>
      <c r="I42" s="196">
        <v>22.37409575891038</v>
      </c>
    </row>
    <row r="43" ht="14.25" customHeight="1">
      <c r="A43" s="176"/>
      <c r="B43" s="190"/>
      <c r="C43" s="198" t="s">
        <v>63</v>
      </c>
      <c r="D43" s="198" t="s">
        <v>63</v>
      </c>
      <c r="E43" s="198" t="s">
        <v>115</v>
      </c>
      <c r="F43" s="199">
        <v>1.0</v>
      </c>
      <c r="G43" s="200">
        <v>5.0</v>
      </c>
      <c r="H43" s="201">
        <v>14031.041666666668</v>
      </c>
      <c r="I43" s="202">
        <v>11.29483495544218</v>
      </c>
    </row>
    <row r="44" ht="14.25" customHeight="1">
      <c r="A44" s="176"/>
      <c r="B44" s="184"/>
      <c r="C44" s="191" t="s">
        <v>64</v>
      </c>
      <c r="D44" s="191" t="s">
        <v>133</v>
      </c>
      <c r="E44" s="192" t="s">
        <v>115</v>
      </c>
      <c r="F44" s="193">
        <v>1.0</v>
      </c>
      <c r="G44" s="203">
        <v>1.0</v>
      </c>
      <c r="H44" s="195">
        <v>3800.0</v>
      </c>
      <c r="I44" s="196">
        <v>3.0589584045385285</v>
      </c>
    </row>
    <row r="45" ht="14.25" customHeight="1">
      <c r="A45" s="176"/>
      <c r="B45" s="184"/>
      <c r="C45" s="191" t="s">
        <v>65</v>
      </c>
      <c r="D45" s="191" t="s">
        <v>64</v>
      </c>
      <c r="E45" s="192" t="s">
        <v>115</v>
      </c>
      <c r="F45" s="193">
        <v>1.0</v>
      </c>
      <c r="G45" s="203">
        <v>2.0</v>
      </c>
      <c r="H45" s="195">
        <v>7600.0</v>
      </c>
      <c r="I45" s="196">
        <v>6.117916809077057</v>
      </c>
    </row>
    <row r="46" ht="14.25" customHeight="1">
      <c r="A46" s="176"/>
      <c r="B46" s="184"/>
      <c r="C46" s="191" t="s">
        <v>66</v>
      </c>
      <c r="D46" s="191" t="s">
        <v>134</v>
      </c>
      <c r="E46" s="192" t="s">
        <v>115</v>
      </c>
      <c r="F46" s="193">
        <v>1.0</v>
      </c>
      <c r="G46" s="203">
        <v>5.0</v>
      </c>
      <c r="H46" s="195">
        <v>19000.0</v>
      </c>
      <c r="I46" s="196">
        <v>15.294792022692643</v>
      </c>
    </row>
    <row r="47" ht="14.25" customHeight="1">
      <c r="A47" s="176"/>
      <c r="B47" s="184"/>
      <c r="C47" s="191" t="s">
        <v>67</v>
      </c>
      <c r="D47" s="191" t="s">
        <v>67</v>
      </c>
      <c r="E47" s="192" t="s">
        <v>115</v>
      </c>
      <c r="F47" s="193">
        <v>1.0</v>
      </c>
      <c r="G47" s="203">
        <v>20.0</v>
      </c>
      <c r="H47" s="195">
        <v>76000.0</v>
      </c>
      <c r="I47" s="196">
        <v>61.179168090770574</v>
      </c>
    </row>
    <row r="48" ht="14.25" customHeight="1">
      <c r="A48" s="176"/>
      <c r="B48" s="184"/>
      <c r="C48" s="191" t="s">
        <v>68</v>
      </c>
      <c r="D48" s="191" t="s">
        <v>68</v>
      </c>
      <c r="E48" s="192" t="s">
        <v>115</v>
      </c>
      <c r="F48" s="193">
        <v>1.0</v>
      </c>
      <c r="G48" s="194">
        <v>1.0</v>
      </c>
      <c r="H48" s="195">
        <v>2930.0</v>
      </c>
      <c r="I48" s="196">
        <v>2.358617927709971</v>
      </c>
    </row>
    <row r="49" ht="14.25" customHeight="1">
      <c r="A49" s="207"/>
      <c r="B49" s="208"/>
      <c r="C49" s="191" t="s">
        <v>69</v>
      </c>
      <c r="D49" s="191" t="s">
        <v>69</v>
      </c>
      <c r="E49" s="192" t="s">
        <v>115</v>
      </c>
      <c r="F49" s="194">
        <v>1.0</v>
      </c>
      <c r="G49" s="194">
        <v>2.0</v>
      </c>
      <c r="H49" s="204">
        <v>5860.0</v>
      </c>
      <c r="I49" s="205">
        <v>4.717235855419942</v>
      </c>
    </row>
    <row r="50" ht="14.25" customHeight="1">
      <c r="A50" s="176"/>
      <c r="B50" s="184"/>
      <c r="C50" s="191" t="s">
        <v>70</v>
      </c>
      <c r="D50" s="191" t="s">
        <v>70</v>
      </c>
      <c r="E50" s="192" t="s">
        <v>115</v>
      </c>
      <c r="F50" s="193">
        <v>1.0</v>
      </c>
      <c r="G50" s="194">
        <v>5.0</v>
      </c>
      <c r="H50" s="195">
        <v>14650.000000000002</v>
      </c>
      <c r="I50" s="196">
        <v>11.793089638549855</v>
      </c>
    </row>
    <row r="51" ht="14.25" customHeight="1">
      <c r="A51" s="176"/>
      <c r="B51" s="184"/>
      <c r="C51" s="191" t="s">
        <v>71</v>
      </c>
      <c r="D51" s="191" t="s">
        <v>71</v>
      </c>
      <c r="E51" s="192" t="s">
        <v>115</v>
      </c>
      <c r="F51" s="193">
        <v>1.0</v>
      </c>
      <c r="G51" s="194">
        <v>10.0</v>
      </c>
      <c r="H51" s="195">
        <v>29300.000000000004</v>
      </c>
      <c r="I51" s="196">
        <v>23.58617927709971</v>
      </c>
    </row>
    <row r="52" ht="14.25" customHeight="1">
      <c r="A52" s="176"/>
      <c r="B52" s="190"/>
      <c r="C52" s="197" t="s">
        <v>72</v>
      </c>
      <c r="D52" s="197" t="s">
        <v>72</v>
      </c>
      <c r="E52" s="198" t="s">
        <v>115</v>
      </c>
      <c r="F52" s="199">
        <v>1.0</v>
      </c>
      <c r="G52" s="200">
        <v>20.0</v>
      </c>
      <c r="H52" s="201">
        <v>58600.00000000001</v>
      </c>
      <c r="I52" s="202">
        <v>47.17235855419942</v>
      </c>
    </row>
    <row r="53" ht="14.25" customHeight="1">
      <c r="A53" s="176"/>
      <c r="B53" s="190"/>
      <c r="C53" s="191" t="s">
        <v>73</v>
      </c>
      <c r="D53" s="191" t="s">
        <v>73</v>
      </c>
      <c r="E53" s="192" t="s">
        <v>115</v>
      </c>
      <c r="F53" s="193">
        <v>1.0</v>
      </c>
      <c r="G53" s="194">
        <v>1.0</v>
      </c>
      <c r="H53" s="195">
        <v>3720.0</v>
      </c>
      <c r="I53" s="196">
        <v>2.9945592802324543</v>
      </c>
    </row>
    <row r="54" ht="14.25" customHeight="1">
      <c r="A54" s="176"/>
      <c r="B54" s="184"/>
      <c r="C54" s="191" t="s">
        <v>74</v>
      </c>
      <c r="D54" s="191" t="s">
        <v>74</v>
      </c>
      <c r="E54" s="192" t="s">
        <v>115</v>
      </c>
      <c r="F54" s="193">
        <v>1.0</v>
      </c>
      <c r="G54" s="194">
        <v>2.0</v>
      </c>
      <c r="H54" s="195">
        <v>7440.0</v>
      </c>
      <c r="I54" s="196">
        <v>5.989118560464909</v>
      </c>
    </row>
    <row r="55" ht="14.25" customHeight="1">
      <c r="A55" s="176"/>
      <c r="B55" s="184"/>
      <c r="C55" s="191" t="s">
        <v>75</v>
      </c>
      <c r="D55" s="191" t="s">
        <v>75</v>
      </c>
      <c r="E55" s="192" t="s">
        <v>115</v>
      </c>
      <c r="F55" s="193">
        <v>1.0</v>
      </c>
      <c r="G55" s="194">
        <v>5.0</v>
      </c>
      <c r="H55" s="195">
        <v>18600.0</v>
      </c>
      <c r="I55" s="196">
        <v>14.972796401162272</v>
      </c>
    </row>
    <row r="56" ht="14.25" customHeight="1">
      <c r="A56" s="176"/>
      <c r="B56" s="184"/>
      <c r="C56" s="191" t="s">
        <v>76</v>
      </c>
      <c r="D56" s="191" t="s">
        <v>76</v>
      </c>
      <c r="E56" s="192" t="s">
        <v>115</v>
      </c>
      <c r="F56" s="193">
        <v>1.0</v>
      </c>
      <c r="G56" s="194">
        <v>10.0</v>
      </c>
      <c r="H56" s="195">
        <v>37200.0</v>
      </c>
      <c r="I56" s="196">
        <v>29.945592802324544</v>
      </c>
    </row>
    <row r="57" ht="14.25" customHeight="1">
      <c r="A57" s="176"/>
      <c r="B57" s="190"/>
      <c r="C57" s="197" t="s">
        <v>77</v>
      </c>
      <c r="D57" s="197" t="s">
        <v>77</v>
      </c>
      <c r="E57" s="198" t="s">
        <v>115</v>
      </c>
      <c r="F57" s="199">
        <v>1.0</v>
      </c>
      <c r="G57" s="200">
        <v>20.0</v>
      </c>
      <c r="H57" s="201">
        <v>74400.0</v>
      </c>
      <c r="I57" s="202">
        <v>59.89118560464909</v>
      </c>
    </row>
    <row r="58" ht="14.25" customHeight="1">
      <c r="A58" s="176"/>
      <c r="B58" s="190"/>
      <c r="C58" s="191" t="s">
        <v>78</v>
      </c>
      <c r="D58" s="191" t="s">
        <v>78</v>
      </c>
      <c r="E58" s="192" t="s">
        <v>115</v>
      </c>
      <c r="F58" s="193">
        <v>1.0</v>
      </c>
      <c r="G58" s="194">
        <v>1.0</v>
      </c>
      <c r="H58" s="195">
        <v>2990.0</v>
      </c>
      <c r="I58" s="196">
        <v>2.4069172709395263</v>
      </c>
    </row>
    <row r="59" ht="14.25" customHeight="1">
      <c r="A59" s="176"/>
      <c r="B59" s="184"/>
      <c r="C59" s="191" t="s">
        <v>79</v>
      </c>
      <c r="D59" s="191" t="s">
        <v>79</v>
      </c>
      <c r="E59" s="192" t="s">
        <v>115</v>
      </c>
      <c r="F59" s="193">
        <v>1.0</v>
      </c>
      <c r="G59" s="194">
        <v>2.0</v>
      </c>
      <c r="H59" s="195">
        <v>5980.0</v>
      </c>
      <c r="I59" s="196">
        <v>4.813834541879053</v>
      </c>
    </row>
    <row r="60" ht="14.25" customHeight="1">
      <c r="A60" s="176"/>
      <c r="B60" s="184"/>
      <c r="C60" s="191" t="s">
        <v>80</v>
      </c>
      <c r="D60" s="191" t="s">
        <v>80</v>
      </c>
      <c r="E60" s="192" t="s">
        <v>115</v>
      </c>
      <c r="F60" s="193">
        <v>1.0</v>
      </c>
      <c r="G60" s="194">
        <v>5.0</v>
      </c>
      <c r="H60" s="195">
        <v>14950.0</v>
      </c>
      <c r="I60" s="196">
        <v>12.034586354697632</v>
      </c>
    </row>
    <row r="61" ht="14.25" customHeight="1">
      <c r="A61" s="176"/>
      <c r="B61" s="184"/>
      <c r="C61" s="191" t="s">
        <v>81</v>
      </c>
      <c r="D61" s="191" t="s">
        <v>81</v>
      </c>
      <c r="E61" s="192" t="s">
        <v>115</v>
      </c>
      <c r="F61" s="193">
        <v>1.0</v>
      </c>
      <c r="G61" s="194">
        <v>10.0</v>
      </c>
      <c r="H61" s="195">
        <v>29900.0</v>
      </c>
      <c r="I61" s="196">
        <v>24.069172709395264</v>
      </c>
    </row>
    <row r="62" ht="14.25" customHeight="1">
      <c r="A62" s="176"/>
      <c r="B62" s="190"/>
      <c r="C62" s="197" t="s">
        <v>82</v>
      </c>
      <c r="D62" s="197" t="s">
        <v>82</v>
      </c>
      <c r="E62" s="198" t="s">
        <v>115</v>
      </c>
      <c r="F62" s="199">
        <v>1.0</v>
      </c>
      <c r="G62" s="200">
        <v>20.0</v>
      </c>
      <c r="H62" s="201">
        <v>59800.0</v>
      </c>
      <c r="I62" s="202">
        <v>48.13834541879053</v>
      </c>
    </row>
    <row r="63" ht="14.25" customHeight="1">
      <c r="A63" s="176"/>
      <c r="B63" s="190"/>
      <c r="C63" s="191" t="s">
        <v>83</v>
      </c>
      <c r="D63" s="191" t="s">
        <v>83</v>
      </c>
      <c r="E63" s="192" t="s">
        <v>115</v>
      </c>
      <c r="F63" s="193">
        <v>1.0</v>
      </c>
      <c r="G63" s="194">
        <v>1.0</v>
      </c>
      <c r="H63" s="195">
        <v>2556.0</v>
      </c>
      <c r="I63" s="196">
        <v>2.0575520215790735</v>
      </c>
    </row>
    <row r="64" ht="14.25" customHeight="1">
      <c r="A64" s="176"/>
      <c r="B64" s="184"/>
      <c r="C64" s="191" t="s">
        <v>84</v>
      </c>
      <c r="D64" s="191" t="s">
        <v>84</v>
      </c>
      <c r="E64" s="192" t="s">
        <v>115</v>
      </c>
      <c r="F64" s="193">
        <v>1.0</v>
      </c>
      <c r="G64" s="203">
        <v>2.0</v>
      </c>
      <c r="H64" s="195">
        <v>5112.0</v>
      </c>
      <c r="I64" s="196">
        <v>4.115104043158147</v>
      </c>
    </row>
    <row r="65" ht="14.25" customHeight="1">
      <c r="A65" s="176"/>
      <c r="B65" s="184"/>
      <c r="C65" s="191" t="s">
        <v>85</v>
      </c>
      <c r="D65" s="191" t="s">
        <v>85</v>
      </c>
      <c r="E65" s="192" t="s">
        <v>115</v>
      </c>
      <c r="F65" s="193">
        <v>1.0</v>
      </c>
      <c r="G65" s="203">
        <v>5.0</v>
      </c>
      <c r="H65" s="195">
        <v>12780.000000000002</v>
      </c>
      <c r="I65" s="196">
        <v>10.287760107895368</v>
      </c>
    </row>
    <row r="66" ht="14.25" customHeight="1">
      <c r="A66" s="176"/>
      <c r="B66" s="184"/>
      <c r="C66" s="191" t="s">
        <v>86</v>
      </c>
      <c r="D66" s="191" t="s">
        <v>86</v>
      </c>
      <c r="E66" s="192" t="s">
        <v>115</v>
      </c>
      <c r="F66" s="193">
        <v>1.0</v>
      </c>
      <c r="G66" s="203">
        <v>10.0</v>
      </c>
      <c r="H66" s="195">
        <v>25560.000000000004</v>
      </c>
      <c r="I66" s="196">
        <v>20.575520215790736</v>
      </c>
    </row>
    <row r="67" ht="14.25" customHeight="1">
      <c r="A67" s="176"/>
      <c r="B67" s="184"/>
      <c r="C67" s="191" t="s">
        <v>87</v>
      </c>
      <c r="D67" s="191" t="s">
        <v>87</v>
      </c>
      <c r="E67" s="192" t="s">
        <v>115</v>
      </c>
      <c r="F67" s="193">
        <v>1.0</v>
      </c>
      <c r="G67" s="203">
        <v>20.0</v>
      </c>
      <c r="H67" s="195">
        <v>51120.00000000001</v>
      </c>
      <c r="I67" s="196">
        <v>41.15104043158147</v>
      </c>
    </row>
    <row r="68" ht="14.25" customHeight="1">
      <c r="A68" s="176"/>
      <c r="B68" s="184"/>
      <c r="C68" s="191" t="s">
        <v>88</v>
      </c>
      <c r="D68" s="191" t="s">
        <v>88</v>
      </c>
      <c r="E68" s="192" t="s">
        <v>115</v>
      </c>
      <c r="F68" s="193">
        <v>1.0</v>
      </c>
      <c r="G68" s="203">
        <v>1.0</v>
      </c>
      <c r="H68" s="195">
        <v>3010.0</v>
      </c>
      <c r="I68" s="196">
        <v>2.423017052016045</v>
      </c>
    </row>
    <row r="69" ht="14.25" customHeight="1">
      <c r="A69" s="176"/>
      <c r="B69" s="184"/>
      <c r="C69" s="191" t="s">
        <v>89</v>
      </c>
      <c r="D69" s="191" t="s">
        <v>89</v>
      </c>
      <c r="E69" s="192" t="s">
        <v>115</v>
      </c>
      <c r="F69" s="193">
        <v>1.0</v>
      </c>
      <c r="G69" s="203">
        <v>2.0</v>
      </c>
      <c r="H69" s="195">
        <v>6020.0</v>
      </c>
      <c r="I69" s="196">
        <v>4.84603410403209</v>
      </c>
    </row>
    <row r="70" ht="14.25" customHeight="1">
      <c r="A70" s="176"/>
      <c r="B70" s="184"/>
      <c r="C70" s="191" t="s">
        <v>90</v>
      </c>
      <c r="D70" s="191" t="s">
        <v>90</v>
      </c>
      <c r="E70" s="192" t="s">
        <v>115</v>
      </c>
      <c r="F70" s="193">
        <v>1.0</v>
      </c>
      <c r="G70" s="194">
        <v>5.0</v>
      </c>
      <c r="H70" s="195">
        <v>15050.0</v>
      </c>
      <c r="I70" s="196">
        <v>12.115085260080225</v>
      </c>
    </row>
    <row r="71" ht="14.25" customHeight="1">
      <c r="A71" s="176"/>
      <c r="B71" s="184"/>
      <c r="C71" s="191" t="s">
        <v>91</v>
      </c>
      <c r="D71" s="191" t="s">
        <v>91</v>
      </c>
      <c r="E71" s="192" t="s">
        <v>115</v>
      </c>
      <c r="F71" s="193">
        <v>1.0</v>
      </c>
      <c r="G71" s="203">
        <v>10.0</v>
      </c>
      <c r="H71" s="195">
        <v>30100.0</v>
      </c>
      <c r="I71" s="196">
        <v>24.23017052016045</v>
      </c>
    </row>
    <row r="72" ht="14.25" customHeight="1">
      <c r="A72" s="176"/>
      <c r="B72" s="190"/>
      <c r="C72" s="197" t="s">
        <v>92</v>
      </c>
      <c r="D72" s="197" t="s">
        <v>92</v>
      </c>
      <c r="E72" s="198" t="s">
        <v>115</v>
      </c>
      <c r="F72" s="199">
        <v>1.0</v>
      </c>
      <c r="G72" s="200">
        <v>20.0</v>
      </c>
      <c r="H72" s="201">
        <v>60200.0</v>
      </c>
      <c r="I72" s="202">
        <v>48.4603410403209</v>
      </c>
    </row>
    <row r="73" ht="14.25" customHeight="1">
      <c r="A73" s="176"/>
      <c r="B73" s="190"/>
      <c r="C73" s="191" t="s">
        <v>93</v>
      </c>
      <c r="D73" s="191" t="s">
        <v>93</v>
      </c>
      <c r="E73" s="192" t="s">
        <v>115</v>
      </c>
      <c r="F73" s="193">
        <v>1.0</v>
      </c>
      <c r="G73" s="203">
        <v>1.0</v>
      </c>
      <c r="H73" s="195">
        <v>2300.0</v>
      </c>
      <c r="I73" s="196">
        <v>1.8514748237996357</v>
      </c>
    </row>
    <row r="74" ht="14.25" customHeight="1">
      <c r="A74" s="176"/>
      <c r="B74" s="190"/>
      <c r="C74" s="191" t="s">
        <v>94</v>
      </c>
      <c r="D74" s="191" t="s">
        <v>94</v>
      </c>
      <c r="E74" s="192" t="s">
        <v>115</v>
      </c>
      <c r="F74" s="193">
        <v>1.0</v>
      </c>
      <c r="G74" s="203">
        <v>2.0</v>
      </c>
      <c r="H74" s="195">
        <v>4600.0</v>
      </c>
      <c r="I74" s="196">
        <v>3.7029496475992714</v>
      </c>
    </row>
    <row r="75" ht="14.25" customHeight="1">
      <c r="A75" s="176"/>
      <c r="B75" s="190"/>
      <c r="C75" s="197" t="s">
        <v>95</v>
      </c>
      <c r="D75" s="197" t="s">
        <v>95</v>
      </c>
      <c r="E75" s="198" t="s">
        <v>115</v>
      </c>
      <c r="F75" s="199">
        <v>1.0</v>
      </c>
      <c r="G75" s="206">
        <v>5.0</v>
      </c>
      <c r="H75" s="201">
        <v>11500.0</v>
      </c>
      <c r="I75" s="202">
        <v>9.257374118998179</v>
      </c>
    </row>
    <row r="76" ht="14.25" customHeight="1">
      <c r="A76" s="176"/>
      <c r="B76" s="190"/>
      <c r="C76" s="191" t="s">
        <v>100</v>
      </c>
      <c r="D76" s="191" t="s">
        <v>100</v>
      </c>
      <c r="E76" s="192" t="s">
        <v>115</v>
      </c>
      <c r="F76" s="193">
        <v>20.0</v>
      </c>
      <c r="G76" s="194">
        <v>20.0</v>
      </c>
      <c r="H76" s="195">
        <v>700.0</v>
      </c>
      <c r="I76" s="196">
        <v>0.56349233767815</v>
      </c>
    </row>
    <row r="77" ht="14.25" customHeight="1">
      <c r="A77" s="176"/>
      <c r="B77" s="190"/>
      <c r="C77" s="198" t="s">
        <v>135</v>
      </c>
      <c r="D77" s="198" t="s">
        <v>135</v>
      </c>
      <c r="E77" s="198" t="s">
        <v>115</v>
      </c>
      <c r="F77" s="199">
        <v>1.0</v>
      </c>
      <c r="G77" s="200">
        <v>2.0</v>
      </c>
      <c r="H77" s="201">
        <v>0.0</v>
      </c>
      <c r="I77" s="202">
        <v>0.0</v>
      </c>
    </row>
    <row r="78" ht="14.25" customHeight="1">
      <c r="A78" s="176"/>
      <c r="B78" s="184"/>
      <c r="C78" s="192" t="s">
        <v>101</v>
      </c>
      <c r="D78" s="209" t="s">
        <v>101</v>
      </c>
      <c r="E78" s="209" t="s">
        <v>136</v>
      </c>
      <c r="F78" s="193">
        <v>1.0</v>
      </c>
      <c r="G78" s="194">
        <v>1.0</v>
      </c>
      <c r="H78" s="195">
        <v>13789.007375</v>
      </c>
      <c r="I78" s="196">
        <v>11.1</v>
      </c>
    </row>
    <row r="79" ht="14.25" customHeight="1">
      <c r="A79" s="176"/>
      <c r="B79" s="184"/>
      <c r="C79" s="192" t="s">
        <v>101</v>
      </c>
      <c r="D79" s="192" t="s">
        <v>137</v>
      </c>
      <c r="E79" s="192" t="s">
        <v>136</v>
      </c>
      <c r="F79" s="193">
        <v>1.0</v>
      </c>
      <c r="G79" s="194">
        <v>1.0</v>
      </c>
      <c r="H79" s="195">
        <v>250.0</v>
      </c>
      <c r="I79" s="196">
        <v>0.20124726345648214</v>
      </c>
    </row>
    <row r="80" ht="14.25" customHeight="1">
      <c r="A80" s="176"/>
      <c r="B80" s="184"/>
      <c r="C80" s="192" t="s">
        <v>99</v>
      </c>
      <c r="D80" s="192" t="s">
        <v>99</v>
      </c>
      <c r="E80" s="192" t="s">
        <v>136</v>
      </c>
      <c r="F80" s="193">
        <v>1.0</v>
      </c>
      <c r="G80" s="194">
        <v>1.0</v>
      </c>
      <c r="H80" s="195">
        <v>111.80276249999999</v>
      </c>
      <c r="I80" s="196">
        <v>0.09</v>
      </c>
    </row>
    <row r="81" ht="14.25" customHeight="1">
      <c r="A81" s="176"/>
      <c r="B81" s="184"/>
      <c r="C81" s="192" t="s">
        <v>102</v>
      </c>
      <c r="D81" s="192" t="s">
        <v>102</v>
      </c>
      <c r="E81" s="192" t="s">
        <v>138</v>
      </c>
      <c r="F81" s="193">
        <v>1.0</v>
      </c>
      <c r="G81" s="194">
        <v>1.0</v>
      </c>
      <c r="H81" s="195">
        <v>39482.772901</v>
      </c>
      <c r="I81" s="196">
        <v>31.7832</v>
      </c>
    </row>
    <row r="82" ht="14.25" customHeight="1">
      <c r="A82" s="176"/>
      <c r="B82" s="190"/>
      <c r="C82" s="198"/>
      <c r="D82" s="198"/>
      <c r="E82" s="198"/>
      <c r="F82" s="199"/>
      <c r="G82" s="200"/>
      <c r="H82" s="201"/>
      <c r="I82" s="202"/>
    </row>
    <row r="83" ht="14.25" customHeight="1">
      <c r="A83" s="176"/>
      <c r="B83" s="184"/>
      <c r="C83" s="191" t="s">
        <v>96</v>
      </c>
      <c r="D83" s="210" t="s">
        <v>96</v>
      </c>
      <c r="E83" s="209" t="s">
        <v>112</v>
      </c>
      <c r="F83" s="193">
        <v>1.0</v>
      </c>
      <c r="G83" s="203">
        <v>25.0</v>
      </c>
      <c r="H83" s="195">
        <v>910.1645500864583</v>
      </c>
      <c r="I83" s="196">
        <v>0.7326725000000001</v>
      </c>
    </row>
    <row r="84" ht="14.25" customHeight="1">
      <c r="A84" s="176"/>
      <c r="B84" s="184"/>
      <c r="C84" s="191" t="s">
        <v>97</v>
      </c>
      <c r="D84" s="210" t="s">
        <v>97</v>
      </c>
      <c r="E84" s="209" t="s">
        <v>112</v>
      </c>
      <c r="F84" s="193">
        <v>1.0</v>
      </c>
      <c r="G84" s="203">
        <v>25.0</v>
      </c>
      <c r="H84" s="195">
        <v>910.1645500864583</v>
      </c>
      <c r="I84" s="196">
        <v>0.7326725000000001</v>
      </c>
    </row>
    <row r="85" ht="14.25" customHeight="1">
      <c r="A85" s="176"/>
      <c r="B85" s="184"/>
      <c r="C85" s="191" t="s">
        <v>98</v>
      </c>
      <c r="D85" s="210" t="s">
        <v>98</v>
      </c>
      <c r="E85" s="209" t="s">
        <v>112</v>
      </c>
      <c r="F85" s="193">
        <v>1.0</v>
      </c>
      <c r="G85" s="203">
        <v>25.0</v>
      </c>
      <c r="H85" s="195">
        <v>910.1645500864583</v>
      </c>
      <c r="I85" s="196">
        <v>0.7326725000000001</v>
      </c>
    </row>
    <row r="86" ht="14.25" customHeight="1">
      <c r="A86" s="207"/>
      <c r="B86" s="207"/>
      <c r="C86" s="207"/>
      <c r="D86" s="207"/>
      <c r="E86" s="207"/>
      <c r="F86" s="207"/>
      <c r="G86" s="207"/>
      <c r="H86" s="207"/>
      <c r="I86" s="207"/>
    </row>
    <row r="87" ht="14.25" customHeight="1">
      <c r="A87" s="207"/>
      <c r="B87" s="207"/>
      <c r="C87" s="207"/>
      <c r="D87" s="207"/>
      <c r="E87" s="207"/>
      <c r="F87" s="207"/>
      <c r="G87" s="207"/>
      <c r="H87" s="207"/>
      <c r="I87" s="207"/>
    </row>
    <row r="88" ht="14.25" customHeight="1">
      <c r="A88" s="207"/>
      <c r="B88" s="207"/>
      <c r="C88" s="207"/>
      <c r="D88" s="207"/>
      <c r="E88" s="207"/>
      <c r="F88" s="207"/>
      <c r="G88" s="207"/>
      <c r="H88" s="207"/>
      <c r="I88" s="207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</sheetData>
  <autoFilter ref="$C$2:$I$85"/>
  <customSheetViews>
    <customSheetView guid="{AF2EAA4A-3E8B-45BD-95B2-79081B01FFD3}" filter="1" showAutoFilter="1">
      <autoFilter ref="$A$2:$I$85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35.88"/>
    <col customWidth="1" min="4" max="4" width="15.13"/>
  </cols>
  <sheetData>
    <row r="3">
      <c r="B3" s="211" t="s">
        <v>139</v>
      </c>
      <c r="C3" s="212"/>
      <c r="D3" s="213"/>
    </row>
    <row r="5">
      <c r="B5" s="214" t="s">
        <v>140</v>
      </c>
      <c r="C5" s="215" t="s">
        <v>141</v>
      </c>
      <c r="D5" s="216" t="s">
        <v>142</v>
      </c>
    </row>
    <row r="6">
      <c r="B6" s="217" t="s">
        <v>143</v>
      </c>
      <c r="C6" s="218">
        <v>105.68</v>
      </c>
      <c r="D6" s="219" t="str">
        <f>'Pricing Model'!E14</f>
        <v>#DIV/0!</v>
      </c>
    </row>
    <row r="7">
      <c r="B7" s="217" t="s">
        <v>144</v>
      </c>
      <c r="C7" s="220">
        <v>0.293</v>
      </c>
      <c r="D7" s="221" t="str">
        <f>'Pricing Model'!E13</f>
        <v>#DIV/0!</v>
      </c>
    </row>
    <row r="8">
      <c r="B8" s="222" t="s">
        <v>145</v>
      </c>
      <c r="C8" s="223">
        <f t="shared" ref="C8:D8" si="1">C7*C6</f>
        <v>30.96424</v>
      </c>
      <c r="D8" s="223" t="str">
        <f t="shared" si="1"/>
        <v>#DIV/0!</v>
      </c>
    </row>
    <row r="9">
      <c r="B9" s="217" t="s">
        <v>146</v>
      </c>
      <c r="C9" s="224">
        <v>-0.0388</v>
      </c>
      <c r="D9" s="224">
        <v>-0.0412</v>
      </c>
    </row>
    <row r="10">
      <c r="B10" s="225" t="s">
        <v>147</v>
      </c>
      <c r="C10" s="224">
        <v>-0.077</v>
      </c>
      <c r="D10" s="224">
        <v>-0.1036</v>
      </c>
    </row>
    <row r="11">
      <c r="B11" s="222" t="s">
        <v>148</v>
      </c>
      <c r="C11" s="226">
        <f t="shared" ref="C11:D11" si="2">sum(C9:C10)</f>
        <v>-0.1158</v>
      </c>
      <c r="D11" s="226">
        <f t="shared" si="2"/>
        <v>-0.1448</v>
      </c>
    </row>
    <row r="12">
      <c r="B12" s="217" t="s">
        <v>149</v>
      </c>
      <c r="C12" s="227">
        <f t="shared" ref="C12:D12" si="3">C11*C6</f>
        <v>-12.237744</v>
      </c>
      <c r="D12" s="228" t="str">
        <f t="shared" si="3"/>
        <v>#DIV/0!</v>
      </c>
    </row>
    <row r="13">
      <c r="B13" s="229" t="s">
        <v>150</v>
      </c>
      <c r="C13" s="230">
        <f t="shared" ref="C13:D13" si="4">C8+C12</f>
        <v>18.726496</v>
      </c>
      <c r="D13" s="231" t="str">
        <f t="shared" si="4"/>
        <v>#DIV/0!</v>
      </c>
    </row>
    <row r="14">
      <c r="B14" s="217" t="s">
        <v>151</v>
      </c>
      <c r="C14" s="232">
        <v>418.786</v>
      </c>
      <c r="D14" s="233">
        <f>'Pricing Model'!E5</f>
        <v>0</v>
      </c>
    </row>
    <row r="15">
      <c r="B15" s="222" t="s">
        <v>152</v>
      </c>
      <c r="C15" s="234">
        <f t="shared" ref="C15:D15" si="5">C14*C13</f>
        <v>7842.394354</v>
      </c>
      <c r="D15" s="234" t="str">
        <f t="shared" si="5"/>
        <v>#DIV/0!</v>
      </c>
    </row>
    <row r="16">
      <c r="B16" s="217" t="s">
        <v>153</v>
      </c>
      <c r="C16" s="235">
        <v>-2953.0</v>
      </c>
      <c r="D16" s="235">
        <v>-3320.0</v>
      </c>
    </row>
    <row r="17">
      <c r="B17" s="217" t="s">
        <v>154</v>
      </c>
      <c r="C17" s="235">
        <v>-1805.0</v>
      </c>
      <c r="D17" s="235">
        <v>-2126.0</v>
      </c>
    </row>
    <row r="18">
      <c r="B18" s="217" t="s">
        <v>155</v>
      </c>
      <c r="C18" s="236">
        <f t="shared" ref="C18:D18" si="6">C16+C17</f>
        <v>-4758</v>
      </c>
      <c r="D18" s="236">
        <f t="shared" si="6"/>
        <v>-5446</v>
      </c>
    </row>
    <row r="19">
      <c r="B19" s="229" t="s">
        <v>156</v>
      </c>
      <c r="C19" s="237">
        <f t="shared" ref="C19:D19" si="7">C14*C13+C18</f>
        <v>3084.394354</v>
      </c>
      <c r="D19" s="237" t="str">
        <f t="shared" si="7"/>
        <v>#DIV/0!</v>
      </c>
    </row>
    <row r="20">
      <c r="B20" s="238" t="s">
        <v>157</v>
      </c>
      <c r="C20" s="239">
        <v>229.0</v>
      </c>
      <c r="D20" s="240">
        <f>'Pricing Model'!E4</f>
        <v>305</v>
      </c>
    </row>
    <row r="21">
      <c r="B21" s="238" t="s">
        <v>158</v>
      </c>
      <c r="C21" s="237">
        <f t="shared" ref="C21:D21" si="8">C20*C19</f>
        <v>706326.307</v>
      </c>
      <c r="D21" s="237" t="str">
        <f t="shared" si="8"/>
        <v>#DIV/0!</v>
      </c>
    </row>
    <row r="23">
      <c r="B23" s="241" t="s">
        <v>159</v>
      </c>
    </row>
    <row r="24">
      <c r="B24" s="241" t="s">
        <v>160</v>
      </c>
    </row>
  </sheetData>
  <mergeCells count="1">
    <mergeCell ref="B4:C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38"/>
    <col customWidth="1" min="2" max="2" width="36.63"/>
    <col customWidth="1" min="4" max="4" width="13.75"/>
    <col customWidth="1" min="5" max="5" width="10.5"/>
  </cols>
  <sheetData>
    <row r="1">
      <c r="B1" s="242" t="s">
        <v>161</v>
      </c>
      <c r="C1" s="243">
        <v>26505.0</v>
      </c>
      <c r="D1" s="243">
        <v>82849.0</v>
      </c>
      <c r="E1" s="244">
        <f>SUM(C1:D1)</f>
        <v>109354</v>
      </c>
    </row>
    <row r="2">
      <c r="A2" s="245"/>
      <c r="B2" s="246" t="s">
        <v>162</v>
      </c>
      <c r="C2" s="246" t="s">
        <v>163</v>
      </c>
      <c r="D2" s="246" t="s">
        <v>164</v>
      </c>
      <c r="E2" s="246" t="s">
        <v>165</v>
      </c>
      <c r="F2" s="247"/>
      <c r="G2" s="247"/>
      <c r="H2" s="247"/>
      <c r="I2" s="247"/>
      <c r="J2" s="247"/>
      <c r="K2" s="247"/>
      <c r="L2" s="247"/>
      <c r="M2" s="245"/>
      <c r="N2" s="245"/>
      <c r="O2" s="245"/>
      <c r="P2" s="245"/>
      <c r="Q2" s="245"/>
    </row>
    <row r="3">
      <c r="B3" s="25" t="s">
        <v>54</v>
      </c>
      <c r="C3" s="248">
        <v>0.0</v>
      </c>
      <c r="D3" s="248">
        <v>4645.0</v>
      </c>
      <c r="E3" s="249">
        <f t="shared" ref="E3:E48" si="1">SUM(C3:D3)</f>
        <v>4645</v>
      </c>
      <c r="F3" s="250"/>
      <c r="G3" s="250"/>
      <c r="H3" s="250"/>
      <c r="I3" s="250"/>
      <c r="J3" s="250"/>
      <c r="K3" s="250"/>
      <c r="L3" s="250"/>
    </row>
    <row r="4">
      <c r="B4" s="251" t="s">
        <v>78</v>
      </c>
      <c r="C4" s="248">
        <v>0.0</v>
      </c>
      <c r="D4" s="248">
        <v>1216.0</v>
      </c>
      <c r="E4" s="249">
        <f t="shared" si="1"/>
        <v>1216</v>
      </c>
    </row>
    <row r="5">
      <c r="B5" s="25" t="s">
        <v>79</v>
      </c>
      <c r="C5" s="248">
        <v>0.0</v>
      </c>
      <c r="D5" s="248">
        <v>165.0</v>
      </c>
      <c r="E5" s="249">
        <f t="shared" si="1"/>
        <v>165</v>
      </c>
    </row>
    <row r="6">
      <c r="B6" s="25" t="s">
        <v>80</v>
      </c>
      <c r="C6" s="248">
        <v>1213.0</v>
      </c>
      <c r="D6" s="248">
        <v>7.0</v>
      </c>
      <c r="E6" s="249">
        <f t="shared" si="1"/>
        <v>1220</v>
      </c>
      <c r="F6" s="252"/>
    </row>
    <row r="7">
      <c r="B7" s="25" t="s">
        <v>81</v>
      </c>
      <c r="C7" s="248">
        <v>23.0</v>
      </c>
      <c r="D7" s="248">
        <v>0.0</v>
      </c>
      <c r="E7" s="249">
        <f t="shared" si="1"/>
        <v>23</v>
      </c>
    </row>
    <row r="8">
      <c r="B8" s="25" t="s">
        <v>82</v>
      </c>
      <c r="C8" s="248">
        <v>0.0</v>
      </c>
      <c r="D8" s="248">
        <v>0.0</v>
      </c>
      <c r="E8" s="249">
        <f t="shared" si="1"/>
        <v>0</v>
      </c>
    </row>
    <row r="9">
      <c r="B9" s="251" t="s">
        <v>73</v>
      </c>
      <c r="C9" s="248">
        <v>0.0</v>
      </c>
      <c r="D9" s="248">
        <v>17325.0</v>
      </c>
      <c r="E9" s="249">
        <f t="shared" si="1"/>
        <v>17325</v>
      </c>
    </row>
    <row r="10">
      <c r="B10" s="251" t="s">
        <v>74</v>
      </c>
      <c r="C10" s="248">
        <v>0.0</v>
      </c>
      <c r="D10" s="248">
        <v>2589.0</v>
      </c>
      <c r="E10" s="249">
        <f t="shared" si="1"/>
        <v>2589</v>
      </c>
    </row>
    <row r="11">
      <c r="B11" s="251" t="s">
        <v>75</v>
      </c>
      <c r="C11" s="248">
        <v>7698.0</v>
      </c>
      <c r="D11" s="248">
        <v>237.0</v>
      </c>
      <c r="E11" s="249">
        <f t="shared" si="1"/>
        <v>7935</v>
      </c>
    </row>
    <row r="12">
      <c r="B12" s="251" t="s">
        <v>76</v>
      </c>
      <c r="C12" s="248">
        <v>180.0</v>
      </c>
      <c r="D12" s="248">
        <v>5.0</v>
      </c>
      <c r="E12" s="249">
        <f t="shared" si="1"/>
        <v>185</v>
      </c>
    </row>
    <row r="13">
      <c r="B13" s="251" t="s">
        <v>77</v>
      </c>
      <c r="C13" s="248">
        <v>2.0</v>
      </c>
      <c r="D13" s="248">
        <v>0.0</v>
      </c>
      <c r="E13" s="249">
        <f t="shared" si="1"/>
        <v>2</v>
      </c>
    </row>
    <row r="14">
      <c r="B14" s="25" t="s">
        <v>93</v>
      </c>
      <c r="C14" s="248">
        <v>0.0</v>
      </c>
      <c r="D14" s="248">
        <v>9247.0</v>
      </c>
      <c r="E14" s="249">
        <f t="shared" si="1"/>
        <v>9247</v>
      </c>
    </row>
    <row r="15">
      <c r="B15" s="25" t="s">
        <v>94</v>
      </c>
      <c r="C15" s="248">
        <v>0.0</v>
      </c>
      <c r="D15" s="248">
        <v>235.0</v>
      </c>
      <c r="E15" s="249">
        <f t="shared" si="1"/>
        <v>235</v>
      </c>
    </row>
    <row r="16">
      <c r="B16" s="25" t="s">
        <v>95</v>
      </c>
      <c r="C16" s="248">
        <v>0.0</v>
      </c>
      <c r="D16" s="248">
        <v>24.0</v>
      </c>
      <c r="E16" s="249">
        <f t="shared" si="1"/>
        <v>24</v>
      </c>
    </row>
    <row r="17">
      <c r="B17" s="25" t="s">
        <v>68</v>
      </c>
      <c r="C17" s="248">
        <v>63.0</v>
      </c>
      <c r="D17" s="248">
        <v>14917.0</v>
      </c>
      <c r="E17" s="249">
        <f t="shared" si="1"/>
        <v>14980</v>
      </c>
    </row>
    <row r="18">
      <c r="B18" s="25" t="s">
        <v>69</v>
      </c>
      <c r="C18" s="248">
        <v>1.0</v>
      </c>
      <c r="D18" s="248">
        <v>2472.0</v>
      </c>
      <c r="E18" s="249">
        <f t="shared" si="1"/>
        <v>2473</v>
      </c>
    </row>
    <row r="19">
      <c r="B19" s="25" t="s">
        <v>70</v>
      </c>
      <c r="C19" s="248">
        <v>2987.0</v>
      </c>
      <c r="D19" s="248">
        <v>415.0</v>
      </c>
      <c r="E19" s="249">
        <f t="shared" si="1"/>
        <v>3402</v>
      </c>
    </row>
    <row r="20">
      <c r="B20" s="25" t="s">
        <v>71</v>
      </c>
      <c r="C20" s="248">
        <v>23.0</v>
      </c>
      <c r="D20" s="248">
        <v>9.0</v>
      </c>
      <c r="E20" s="249">
        <f t="shared" si="1"/>
        <v>32</v>
      </c>
    </row>
    <row r="21">
      <c r="B21" s="25" t="s">
        <v>72</v>
      </c>
      <c r="C21" s="248">
        <v>0.0</v>
      </c>
      <c r="D21" s="248">
        <v>3.0</v>
      </c>
      <c r="E21" s="249">
        <f t="shared" si="1"/>
        <v>3</v>
      </c>
    </row>
    <row r="22">
      <c r="B22" s="25" t="s">
        <v>64</v>
      </c>
      <c r="C22" s="248">
        <v>0.0</v>
      </c>
      <c r="D22" s="248">
        <v>17084.0</v>
      </c>
      <c r="E22" s="249">
        <f t="shared" si="1"/>
        <v>17084</v>
      </c>
    </row>
    <row r="23">
      <c r="B23" s="25" t="s">
        <v>65</v>
      </c>
      <c r="C23" s="248">
        <v>60.0</v>
      </c>
      <c r="D23" s="248">
        <v>3105.0</v>
      </c>
      <c r="E23" s="249">
        <f t="shared" si="1"/>
        <v>3165</v>
      </c>
    </row>
    <row r="24">
      <c r="B24" s="25" t="s">
        <v>66</v>
      </c>
      <c r="C24" s="248">
        <v>2142.0</v>
      </c>
      <c r="D24" s="248">
        <v>367.0</v>
      </c>
      <c r="E24" s="249">
        <f t="shared" si="1"/>
        <v>2509</v>
      </c>
    </row>
    <row r="25">
      <c r="B25" s="25" t="s">
        <v>67</v>
      </c>
      <c r="C25" s="248">
        <v>210.0</v>
      </c>
      <c r="D25" s="248">
        <v>11.0</v>
      </c>
      <c r="E25" s="249">
        <f t="shared" si="1"/>
        <v>221</v>
      </c>
    </row>
    <row r="26">
      <c r="B26" s="251" t="s">
        <v>166</v>
      </c>
      <c r="C26" s="248">
        <v>1093.0</v>
      </c>
      <c r="D26" s="248">
        <v>336.0</v>
      </c>
      <c r="E26" s="249">
        <f t="shared" si="1"/>
        <v>1429</v>
      </c>
    </row>
    <row r="27">
      <c r="B27" s="251" t="s">
        <v>167</v>
      </c>
      <c r="C27" s="248">
        <v>962.0</v>
      </c>
      <c r="D27" s="248">
        <v>640.0</v>
      </c>
      <c r="E27" s="249">
        <f t="shared" si="1"/>
        <v>1602</v>
      </c>
    </row>
    <row r="28">
      <c r="B28" s="251" t="s">
        <v>168</v>
      </c>
      <c r="C28" s="248">
        <v>1585.0</v>
      </c>
      <c r="D28" s="248">
        <v>249.0</v>
      </c>
      <c r="E28" s="249">
        <f t="shared" si="1"/>
        <v>1834</v>
      </c>
    </row>
    <row r="29">
      <c r="B29" s="251" t="s">
        <v>169</v>
      </c>
      <c r="C29" s="248">
        <v>1499.0</v>
      </c>
      <c r="D29" s="248">
        <v>6979.0</v>
      </c>
      <c r="E29" s="249">
        <f t="shared" si="1"/>
        <v>8478</v>
      </c>
    </row>
    <row r="30">
      <c r="B30" s="253" t="s">
        <v>58</v>
      </c>
      <c r="C30" s="248">
        <v>6591.0</v>
      </c>
      <c r="D30" s="248">
        <v>24373.0</v>
      </c>
      <c r="E30" s="249">
        <f t="shared" si="1"/>
        <v>30964</v>
      </c>
    </row>
    <row r="31">
      <c r="B31" s="253" t="s">
        <v>57</v>
      </c>
      <c r="C31" s="248">
        <v>19005.0</v>
      </c>
      <c r="D31" s="248">
        <v>38905.0</v>
      </c>
      <c r="E31" s="249">
        <f t="shared" si="1"/>
        <v>57910</v>
      </c>
    </row>
    <row r="32">
      <c r="B32" s="25" t="s">
        <v>56</v>
      </c>
      <c r="C32" s="248">
        <v>867.0</v>
      </c>
      <c r="D32" s="248">
        <v>0.0</v>
      </c>
      <c r="E32" s="249">
        <f t="shared" si="1"/>
        <v>867</v>
      </c>
    </row>
    <row r="33">
      <c r="B33" s="251" t="s">
        <v>170</v>
      </c>
      <c r="C33" s="248">
        <v>0.0</v>
      </c>
      <c r="D33" s="248">
        <v>24373.0</v>
      </c>
      <c r="E33" s="249">
        <f t="shared" si="1"/>
        <v>24373</v>
      </c>
    </row>
    <row r="34">
      <c r="B34" s="251" t="s">
        <v>171</v>
      </c>
      <c r="C34" s="248">
        <v>26505.0</v>
      </c>
      <c r="D34" s="248">
        <v>82849.0</v>
      </c>
      <c r="E34" s="249">
        <f t="shared" si="1"/>
        <v>109354</v>
      </c>
    </row>
    <row r="35">
      <c r="B35" s="251" t="s">
        <v>172</v>
      </c>
      <c r="C35" s="248">
        <v>0.0</v>
      </c>
      <c r="D35" s="248">
        <v>0.0</v>
      </c>
      <c r="E35" s="249">
        <f t="shared" si="1"/>
        <v>0</v>
      </c>
    </row>
    <row r="36">
      <c r="B36" s="251" t="s">
        <v>173</v>
      </c>
      <c r="C36" s="248">
        <v>744.0</v>
      </c>
      <c r="D36" s="248">
        <v>5919.0</v>
      </c>
      <c r="E36" s="249">
        <f t="shared" si="1"/>
        <v>6663</v>
      </c>
    </row>
    <row r="37">
      <c r="B37" s="25" t="s">
        <v>88</v>
      </c>
      <c r="C37" s="248">
        <v>0.0</v>
      </c>
      <c r="D37" s="248">
        <v>1611.0</v>
      </c>
      <c r="E37" s="249">
        <f t="shared" si="1"/>
        <v>1611</v>
      </c>
    </row>
    <row r="38">
      <c r="B38" s="25" t="s">
        <v>89</v>
      </c>
      <c r="C38" s="248">
        <v>0.0</v>
      </c>
      <c r="D38" s="248">
        <v>291.0</v>
      </c>
      <c r="E38" s="249">
        <f t="shared" si="1"/>
        <v>291</v>
      </c>
    </row>
    <row r="39">
      <c r="B39" s="25" t="s">
        <v>90</v>
      </c>
      <c r="C39" s="248">
        <v>6831.0</v>
      </c>
      <c r="D39" s="248">
        <v>37.0</v>
      </c>
      <c r="E39" s="249">
        <f t="shared" si="1"/>
        <v>6868</v>
      </c>
    </row>
    <row r="40">
      <c r="B40" s="25" t="s">
        <v>91</v>
      </c>
      <c r="C40" s="248">
        <v>216.0</v>
      </c>
      <c r="D40" s="248">
        <v>2.0</v>
      </c>
      <c r="E40" s="249">
        <f t="shared" si="1"/>
        <v>218</v>
      </c>
    </row>
    <row r="41">
      <c r="B41" s="25" t="s">
        <v>92</v>
      </c>
      <c r="C41" s="248">
        <v>19.0</v>
      </c>
      <c r="D41" s="248">
        <v>0.0</v>
      </c>
      <c r="E41" s="249">
        <f t="shared" si="1"/>
        <v>19</v>
      </c>
    </row>
    <row r="42">
      <c r="B42" s="25" t="s">
        <v>83</v>
      </c>
      <c r="C42" s="248">
        <v>0.0</v>
      </c>
      <c r="D42" s="248">
        <v>7585.0</v>
      </c>
      <c r="E42" s="249">
        <f t="shared" si="1"/>
        <v>7585</v>
      </c>
    </row>
    <row r="43">
      <c r="B43" s="25" t="s">
        <v>84</v>
      </c>
      <c r="C43" s="248">
        <v>0.0</v>
      </c>
      <c r="D43" s="248">
        <v>1091.0</v>
      </c>
      <c r="E43" s="249">
        <f t="shared" si="1"/>
        <v>1091</v>
      </c>
    </row>
    <row r="44">
      <c r="B44" s="25" t="s">
        <v>85</v>
      </c>
      <c r="C44" s="248">
        <v>3988.0</v>
      </c>
      <c r="D44" s="248">
        <v>197.0</v>
      </c>
      <c r="E44" s="249">
        <f t="shared" si="1"/>
        <v>4185</v>
      </c>
    </row>
    <row r="45">
      <c r="B45" s="25" t="s">
        <v>86</v>
      </c>
      <c r="C45" s="248">
        <v>77.0</v>
      </c>
      <c r="D45" s="248">
        <v>7.0</v>
      </c>
      <c r="E45" s="249">
        <f t="shared" si="1"/>
        <v>84</v>
      </c>
    </row>
    <row r="46">
      <c r="B46" s="25" t="s">
        <v>87</v>
      </c>
      <c r="C46" s="248">
        <v>1.0</v>
      </c>
      <c r="D46" s="248">
        <v>1.0</v>
      </c>
      <c r="E46" s="249">
        <f t="shared" si="1"/>
        <v>2</v>
      </c>
    </row>
    <row r="47">
      <c r="B47" s="25" t="s">
        <v>60</v>
      </c>
      <c r="C47" s="25">
        <v>0.0</v>
      </c>
      <c r="D47" s="25">
        <v>0.0</v>
      </c>
      <c r="E47" s="249">
        <f t="shared" si="1"/>
        <v>0</v>
      </c>
    </row>
    <row r="48">
      <c r="B48" s="25" t="s">
        <v>61</v>
      </c>
      <c r="C48" s="25">
        <v>0.0</v>
      </c>
      <c r="D48" s="25">
        <v>0.0</v>
      </c>
      <c r="E48" s="249">
        <f t="shared" si="1"/>
        <v>0</v>
      </c>
    </row>
    <row r="49">
      <c r="E49" s="254"/>
    </row>
    <row r="50">
      <c r="E50" s="254"/>
    </row>
  </sheetData>
  <conditionalFormatting sqref="B3:B48">
    <cfRule type="containsBlanks" dxfId="0" priority="1">
      <formula>LEN(TRIM(B3))=0</formula>
    </cfRule>
  </conditionalFormatting>
  <drawing r:id="rId1"/>
</worksheet>
</file>